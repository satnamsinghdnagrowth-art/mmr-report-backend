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5440" windowHeight="15390"/>
  </bookViews>
  <sheets>
    <sheet name="Financial Data" sheetId="1" r:id="rId1"/>
  </sheets>
  <calcPr calcId="162913"/>
</workbook>
</file>

<file path=xl/calcChain.xml><?xml version="1.0" encoding="utf-8"?>
<calcChain xmlns="http://schemas.openxmlformats.org/spreadsheetml/2006/main">
  <c r="D8" i="1" l="1"/>
  <c r="C8" i="1"/>
  <c r="C7" i="1"/>
  <c r="C6" i="1"/>
</calcChain>
</file>

<file path=xl/sharedStrings.xml><?xml version="1.0" encoding="utf-8"?>
<sst xmlns="http://schemas.openxmlformats.org/spreadsheetml/2006/main" count="387" uniqueCount="235">
  <si>
    <t>Company Name:</t>
  </si>
  <si>
    <t/>
  </si>
  <si>
    <t>Financial Year Start:</t>
  </si>
  <si>
    <t>January</t>
  </si>
  <si>
    <t>Classification</t>
  </si>
  <si>
    <t>Account Name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</si>
  <si>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</si>
  <si>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</si>
  <si>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</si>
  <si>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</si>
  <si>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</si>
  <si>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</si>
  <si>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</si>
  <si>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</si>
  <si>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</si>
  <si>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</si>
  <si>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</si>
  <si>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</si>
  <si>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</si>
  <si>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</si>
  <si>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</si>
  <si>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</si>
  <si>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</si>
  <si>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</si>
  <si>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</si>
  <si>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</si>
  <si>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</si>
  <si>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</si>
  <si>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</si>
  <si>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</si>
  <si>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</si>
  <si>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</si>
  <si>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</si>
  <si>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</si>
  <si>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</si>
  <si>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</si>
  <si>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</si>
  <si>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</si>
  <si>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</si>
  <si>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</si>
  <si>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</si>
  <si>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</si>
  <si>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</si>
  <si>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Revenue</t>
  </si>
  <si>
    <t>REV</t>
  </si>
  <si>
    <t>Club CARE Plan</t>
  </si>
  <si>
    <t>Club - New</t>
  </si>
  <si>
    <t>Club - Renewals</t>
  </si>
  <si>
    <t>High School -New</t>
  </si>
  <si>
    <t>High School - Renewals</t>
  </si>
  <si>
    <t>Districts - New</t>
  </si>
  <si>
    <t>Districts - Renewals</t>
  </si>
  <si>
    <t>High School District</t>
  </si>
  <si>
    <t>Individual CARE Plan</t>
  </si>
  <si>
    <t>College - New</t>
  </si>
  <si>
    <t>College - Renewals</t>
  </si>
  <si>
    <t>Course Validation</t>
  </si>
  <si>
    <t>Course Audit/Portal Maintenance</t>
  </si>
  <si>
    <t>Counseling Service</t>
  </si>
  <si>
    <t>Honest Game Foundation</t>
  </si>
  <si>
    <t>Sponsorship</t>
  </si>
  <si>
    <t>Sales Discount</t>
  </si>
  <si>
    <t>Unapplied Cash Payment Income</t>
  </si>
  <si>
    <t>Uncategorized Income-1</t>
  </si>
  <si>
    <t>Webinars (deleted)</t>
  </si>
  <si>
    <t>Discounts given</t>
  </si>
  <si>
    <t>Cost of Sales</t>
  </si>
  <si>
    <t>VCOS</t>
  </si>
  <si>
    <t>Data Contractors</t>
  </si>
  <si>
    <t>Software Development</t>
  </si>
  <si>
    <t>Expenses</t>
  </si>
  <si>
    <t>FEXP</t>
  </si>
  <si>
    <t>Advertising and Promotion</t>
  </si>
  <si>
    <t>Bank Service Charges</t>
  </si>
  <si>
    <t>Business Gifts</t>
  </si>
  <si>
    <t>Charitable Contributions</t>
  </si>
  <si>
    <t>Computer and Internet Expenses</t>
  </si>
  <si>
    <t>Commission Expense</t>
  </si>
  <si>
    <t>Contractor Expenses</t>
  </si>
  <si>
    <t>Credit Card Fees</t>
  </si>
  <si>
    <t>Depreciation Expense</t>
  </si>
  <si>
    <t>Donations/Contributions (deleted)</t>
  </si>
  <si>
    <t>Dues and Subscriptions</t>
  </si>
  <si>
    <t>Employee Health Insurance</t>
  </si>
  <si>
    <t>Insurance Expense</t>
  </si>
  <si>
    <t>Licenses and Fees</t>
  </si>
  <si>
    <t>Lead Generation/Sponsorship</t>
  </si>
  <si>
    <t>Marketing Supplies</t>
  </si>
  <si>
    <t>Meals and Entertainment</t>
  </si>
  <si>
    <t>Merchant Bank Fees</t>
  </si>
  <si>
    <t>Office Supplies</t>
  </si>
  <si>
    <t>401k Contribution Expense</t>
  </si>
  <si>
    <t>Postage (deleted)</t>
  </si>
  <si>
    <t>Professional Development</t>
  </si>
  <si>
    <t>Professional Fees</t>
  </si>
  <si>
    <t>QuickBooks Payments Fees</t>
  </si>
  <si>
    <t>Shipping &amp; Postage</t>
  </si>
  <si>
    <t>Sub Contractor Services</t>
  </si>
  <si>
    <t>Rent Expense</t>
  </si>
  <si>
    <t>Retreat</t>
  </si>
  <si>
    <t>Travel Expense - CSM Training Travel</t>
  </si>
  <si>
    <t>Travel Expense - Sales and Conference</t>
  </si>
  <si>
    <t>Uncategorized Expense</t>
  </si>
  <si>
    <t>Agency Fees</t>
  </si>
  <si>
    <t>Freelancers</t>
  </si>
  <si>
    <t>Marketing Materials - Exhibits</t>
  </si>
  <si>
    <t>Marketing Materials - Goods, Tech, Website</t>
  </si>
  <si>
    <t>Paid Advertising</t>
  </si>
  <si>
    <t>ER Health Insurance Contributions</t>
  </si>
  <si>
    <t>Taxes (ER)</t>
  </si>
  <si>
    <t>Wages</t>
  </si>
  <si>
    <t>Wages - Commission</t>
  </si>
  <si>
    <t>Accounting Fees</t>
  </si>
  <si>
    <t>Legal Fees</t>
  </si>
  <si>
    <t>Other Professional Fees</t>
  </si>
  <si>
    <t>Data Administration</t>
  </si>
  <si>
    <t>Airfare</t>
  </si>
  <si>
    <t>Hotel</t>
  </si>
  <si>
    <t>Parking/Taxi</t>
  </si>
  <si>
    <t>Mileage</t>
  </si>
  <si>
    <t>Meals</t>
  </si>
  <si>
    <t>Rental Car</t>
  </si>
  <si>
    <t>Airfare 0</t>
  </si>
  <si>
    <t>Hotel 0</t>
  </si>
  <si>
    <t>Mileage 0</t>
  </si>
  <si>
    <t>Parking/Taxi 0</t>
  </si>
  <si>
    <t>Meals 0</t>
  </si>
  <si>
    <t>Rental Car 0</t>
  </si>
  <si>
    <t>Unapplied Cash Bill Payment Expense</t>
  </si>
  <si>
    <t>Other Income</t>
  </si>
  <si>
    <t>IINC</t>
  </si>
  <si>
    <t>Interest Earned</t>
  </si>
  <si>
    <t>AINC</t>
  </si>
  <si>
    <t>Other Miscellaneous Income</t>
  </si>
  <si>
    <t>Grant Income</t>
  </si>
  <si>
    <t>Other Expenses</t>
  </si>
  <si>
    <t>Current Assets</t>
  </si>
  <si>
    <t>CASH</t>
  </si>
  <si>
    <t>First Bank of Highland Park</t>
  </si>
  <si>
    <t>Savings</t>
  </si>
  <si>
    <t>AR</t>
  </si>
  <si>
    <t>Accounts Recievables</t>
  </si>
  <si>
    <t>OCA</t>
  </si>
  <si>
    <t>Uncategorized Asset</t>
  </si>
  <si>
    <t>Undeposited Funds</t>
  </si>
  <si>
    <t>Prepaid Expenses 0</t>
  </si>
  <si>
    <t>Prepaid Expenses</t>
  </si>
  <si>
    <t>Non-Current Assets</t>
  </si>
  <si>
    <t>FA</t>
  </si>
  <si>
    <t>Computer Equipment</t>
  </si>
  <si>
    <t>Honest Game Software Development</t>
  </si>
  <si>
    <t>Accumulated Depreciation</t>
  </si>
  <si>
    <t>Current Liabilities</t>
  </si>
  <si>
    <t>STD</t>
  </si>
  <si>
    <t>Capital Spark Visa - #8869</t>
  </si>
  <si>
    <t>AP</t>
  </si>
  <si>
    <t>Accounts Payable</t>
  </si>
  <si>
    <t>OCL</t>
  </si>
  <si>
    <t>Employee Benefits Payable</t>
  </si>
  <si>
    <t>Payroll Liabilities</t>
  </si>
  <si>
    <t>Deferred Revenue - Club CARE Plan</t>
  </si>
  <si>
    <t>Deferred Revenue - Club CARE Plan_Renewals</t>
  </si>
  <si>
    <t>Deferred Revenue - High School CARE Plan</t>
  </si>
  <si>
    <t>Deferred Revenue 0- High School CARE Plan_Renewals</t>
  </si>
  <si>
    <t>Deferred Revenue - College CARE</t>
  </si>
  <si>
    <t>Deferred Revenue - College CARE_Renewals</t>
  </si>
  <si>
    <t>Deferred Revenue - Districts - New</t>
  </si>
  <si>
    <t>Deferred Revenue - Districts - Renewals</t>
  </si>
  <si>
    <t>Deferred Revenue - Counseling Service</t>
  </si>
  <si>
    <t>Deferred Revenue - Sponsorship</t>
  </si>
  <si>
    <t>Deferred Revenue-High School District</t>
  </si>
  <si>
    <t>Non-Current Liabilities</t>
  </si>
  <si>
    <t>LTD</t>
  </si>
  <si>
    <t>Loan from Shareholder - Joyce</t>
  </si>
  <si>
    <t>Loan from Shareholder - Kim</t>
  </si>
  <si>
    <t>Equity</t>
  </si>
  <si>
    <t>OEQ</t>
  </si>
  <si>
    <t>Common Stock - Joyce</t>
  </si>
  <si>
    <t>Common Stock - Kim</t>
  </si>
  <si>
    <t>Opening Balance Equity - Joyce</t>
  </si>
  <si>
    <t>Opening Balance Equity - Kim</t>
  </si>
  <si>
    <t>Paid-In Capital - Joyce</t>
  </si>
  <si>
    <t>Paid-In Capital - Kim</t>
  </si>
  <si>
    <t>SAFE AKW Family Trust - 2</t>
  </si>
  <si>
    <t>SAFE AKW Family Trust</t>
  </si>
  <si>
    <t>SAFE Amy Littleton</t>
  </si>
  <si>
    <t>SAFE Alex Dionysan</t>
  </si>
  <si>
    <t>SAFE Bobbyco LLC</t>
  </si>
  <si>
    <t>SAFE C &amp; K Ross Family Trust</t>
  </si>
  <si>
    <t>SAFE David Decsepel</t>
  </si>
  <si>
    <t>SAFE Elizabeth Scheinfeld - 3</t>
  </si>
  <si>
    <t>SAFE Elizabeth Scheinfeld</t>
  </si>
  <si>
    <t>SAFE Elizabeth Scheinfeld - 2</t>
  </si>
  <si>
    <t>SAFE Eva Semple Davis</t>
  </si>
  <si>
    <t>SAFE Frank Serrino</t>
  </si>
  <si>
    <t>SAFE Fountainhead Investments, LLC</t>
  </si>
  <si>
    <t>SAFE - Fountainhead Investments - 2</t>
  </si>
  <si>
    <t>SAFE Gilbert Cheung</t>
  </si>
  <si>
    <t>SAFE Good Heart Work Smart Foundation</t>
  </si>
  <si>
    <t>SAFE Good Heart Work Smart Foundation - 2</t>
  </si>
  <si>
    <t>SAFE J &amp; K Holdings</t>
  </si>
  <si>
    <t>SAFE James Giordano and Serena Yuan</t>
  </si>
  <si>
    <t>SAFE Jill Hirsch Revocable Trust - 2</t>
  </si>
  <si>
    <t>SAFE Jill Hirsch Revocable Trust</t>
  </si>
  <si>
    <t>SAFE John Anderson</t>
  </si>
  <si>
    <t>SAFE John S Anderson</t>
  </si>
  <si>
    <t>SAFE John Keatley and Malin Keatley</t>
  </si>
  <si>
    <t>SAFE Keith Radner</t>
  </si>
  <si>
    <t>SAFE L Rodli</t>
  </si>
  <si>
    <t>SAFE Lynne Madorsky &amp; Michael Kraut</t>
  </si>
  <si>
    <t>SAFE LGDW Ventures (2)</t>
  </si>
  <si>
    <t>SAFE LGDW Ventures LLC</t>
  </si>
  <si>
    <t>SAFE Loud Capital</t>
  </si>
  <si>
    <t>SAFE Loud Capital Fund II, LLC</t>
  </si>
  <si>
    <t>SAFE Nelson Shang</t>
  </si>
  <si>
    <t>SAFE Newman Law Offices</t>
  </si>
  <si>
    <t>SAFE Michael Chang</t>
  </si>
  <si>
    <t>SAFE Pasadena Angels</t>
  </si>
  <si>
    <t>SAFE Ralph Bijou</t>
  </si>
  <si>
    <t>SAFE Rao Narra Irrevocable Trust - 2</t>
  </si>
  <si>
    <t>State of IL</t>
  </si>
  <si>
    <t>SAFE Rao Narra Irrevocable Trust</t>
  </si>
  <si>
    <t>SAFE Sarvis Creek Investments LLC</t>
  </si>
  <si>
    <t>SAFE Serenity Investments LLC</t>
  </si>
  <si>
    <t>SAFE Sheau-ming K Ross Revocable Trust</t>
  </si>
  <si>
    <t>SAFE Steven N Miller Revocable Trust</t>
  </si>
  <si>
    <t>SAVE Steven Miller - Irrevocable Trust 2</t>
  </si>
  <si>
    <t>SAFE Terry Kay</t>
  </si>
  <si>
    <t>SAFE Terry Kay (2)</t>
  </si>
  <si>
    <t>Net Income</t>
  </si>
  <si>
    <t>Retained Earnings</t>
  </si>
  <si>
    <t>Honest Game</t>
  </si>
  <si>
    <t>TR</t>
  </si>
  <si>
    <t>TDC</t>
  </si>
  <si>
    <t>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</si>
</sst>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;&quot;(&quot;&quot;$&quot;#,##0&quot;)&quot;"/>
  </numFmts>
  <fonts count="5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164" fontId="2" fillId="0" borderId="0" xfId="6">
      <alignment horizontal="right"/>
    </xf>
    <xf numFmtId="0" fontId="3" fillId="2" borderId="1" xfId="7">
      <alignment horizontal="right" wrapText="1"/>
    </xf>
    <xf numFmtId="0" fontId="3" fillId="2" borderId="0" xfId="8">
      <alignment horizontal="right"/>
    </xf>
    <xf numFmtId="164" fontId="3" fillId="2" borderId="1" xfId="7" applyNumberFormat="1">
      <alignment horizontal="right" wrapText="1"/>
    </xf>
    <xf numFmtId="9" fontId="3" fillId="2" borderId="1" xfId="9" applyFont="1" applyFill="1" applyBorder="1" applyAlignment="1">
      <alignment horizontal="right" wrapText="1"/>
    </xf>
  </cellXfs>
  <cellStyles count="10">
    <cellStyle name="$@:0x000000::false:right:false:0:false0" xfId="6"/>
    <cellStyle name="$@:0x000000::true:right:false:0:false0" xfId="4"/>
    <cellStyle name="::#dce6f2:false:right:false:0:false0" xfId="1"/>
    <cellStyle name="::#dce6f2:true:left:false:0:false0" xfId="2"/>
    <cellStyle name="::#dce6f2:true:right:false:0:true0" xfId="7"/>
    <cellStyle name="::#dce6f2:true:right:true:0:false0" xfId="8"/>
    <cellStyle name="::#ebf1de:false:left:false:0:false0" xfId="5"/>
    <cellStyle name="::#ebf1de:true:left:false:0:false0" xfId="3"/>
    <cellStyle name="Normal" xfId="0" builtinId="0"/>
    <cellStyle name="Per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83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8" sqref="C8"/>
    </sheetView>
  </sheetViews>
  <sheetFormatPr defaultRowHeight="14.5"/>
  <cols>
    <col min="1" max="1" width="18.1796875" customWidth="1"/>
    <col min="2" max="2" width="48.54296875" customWidth="1"/>
    <col min="3" max="39" width="20" customWidth="1"/>
  </cols>
  <sheetData>
    <row r="1" spans="1:39" s="1" customFormat="1">
      <c r="A1" s="3" t="s">
        <v>0</v>
      </c>
      <c r="B1" s="2" t="s">
        <v>231</v>
      </c>
      <c r="C1" s="10" t="s">
        <v>1</v>
      </c>
    </row>
    <row r="2" spans="1:39" s="1" customFormat="1">
      <c r="A2" s="3" t="s">
        <v>2</v>
      </c>
      <c r="B2" s="2" t="s">
        <v>3</v>
      </c>
    </row>
    <row r="3" spans="1:39" s="1" customFormat="1"/>
    <row r="4" spans="1:39" s="1" customFormat="1"/>
    <row r="5" spans="1:39" s="1" customFormat="1">
      <c r="A5" s="4" t="s">
        <v>4</v>
      </c>
      <c r="B5" s="4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9" t="s">
        <v>24</v>
      </c>
      <c r="V5" s="9" t="s">
        <v>25</v>
      </c>
      <c r="W5" s="9" t="s">
        <v>26</v>
      </c>
      <c r="X5" s="9" t="s">
        <v>27</v>
      </c>
      <c r="Y5" s="9" t="s">
        <v>28</v>
      </c>
      <c r="Z5" s="9" t="s">
        <v>29</v>
      </c>
      <c r="AA5" s="9" t="s">
        <v>30</v>
      </c>
      <c r="AB5" s="9" t="s">
        <v>31</v>
      </c>
      <c r="AC5" s="9" t="s">
        <v>32</v>
      </c>
      <c r="AD5" s="9" t="s">
        <v>33</v>
      </c>
      <c r="AE5" s="9" t="s">
        <v>34</v>
      </c>
      <c r="AF5" s="9" t="s">
        <v>35</v>
      </c>
      <c r="AG5" s="9" t="s">
        <v>36</v>
      </c>
      <c r="AH5" s="9" t="s">
        <v>37</v>
      </c>
      <c r="AI5" s="9" t="s">
        <v>38</v>
      </c>
      <c r="AJ5" s="9" t="s">
        <v>39</v>
      </c>
      <c r="AK5" s="9" t="s">
        <v>40</v>
      </c>
      <c r="AL5" s="9" t="s">
        <v>41</v>
      </c>
      <c r="AM5" s="9" t="s">
        <v>42</v>
      </c>
    </row>
    <row r="6" spans="1:39" s="1" customFormat="1">
      <c r="A6" s="4"/>
      <c r="B6" s="4" t="s">
        <v>232</v>
      </c>
      <c r="C6" s="6">
        <f>SUM(C10:C30)</f>
        <v>102592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spans="1:39" s="1" customFormat="1">
      <c r="A7" s="4"/>
      <c r="B7" s="4" t="s">
        <v>233</v>
      </c>
      <c r="C7" s="11">
        <f>SUM(C32:C33)</f>
        <v>18254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spans="1:39" s="1" customFormat="1">
      <c r="A8" s="4"/>
      <c r="B8" s="4" t="s">
        <v>234</v>
      </c>
      <c r="C8" s="11">
        <f>C6-C7</f>
        <v>84338</v>
      </c>
      <c r="D8" s="12">
        <f>C8/C6</f>
        <v>0.82207189644416723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spans="1:39">
      <c r="A9" s="5"/>
      <c r="B9" s="5" t="s">
        <v>43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spans="1:39">
      <c r="A10" s="7" t="s">
        <v>44</v>
      </c>
      <c r="B10" s="7" t="s">
        <v>45</v>
      </c>
      <c r="C10" s="8">
        <v>6088</v>
      </c>
      <c r="D10" s="8">
        <v>3582</v>
      </c>
      <c r="E10" s="8">
        <v>1354</v>
      </c>
      <c r="F10" s="8">
        <v>2198</v>
      </c>
      <c r="G10" s="8">
        <v>625</v>
      </c>
      <c r="H10" s="8">
        <v>5064</v>
      </c>
      <c r="I10" s="8">
        <v>4925</v>
      </c>
      <c r="J10" s="8">
        <v>6577</v>
      </c>
      <c r="K10" s="8">
        <v>2376</v>
      </c>
      <c r="L10" s="8">
        <v>12240</v>
      </c>
      <c r="M10" s="8">
        <v>625</v>
      </c>
      <c r="N10" s="8">
        <v>4638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39">
      <c r="A11" s="7" t="s">
        <v>44</v>
      </c>
      <c r="B11" s="7" t="s">
        <v>46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>
        <v>2000</v>
      </c>
      <c r="R11" s="8"/>
      <c r="S11" s="8"/>
      <c r="T11" s="8"/>
      <c r="U11" s="8">
        <v>2000</v>
      </c>
      <c r="V11" s="8"/>
      <c r="W11" s="8"/>
      <c r="X11" s="8">
        <v>1625</v>
      </c>
      <c r="Y11" s="8"/>
      <c r="Z11" s="8"/>
      <c r="AA11" s="8">
        <v>485.42</v>
      </c>
      <c r="AB11" s="8">
        <v>526.25</v>
      </c>
      <c r="AC11" s="8">
        <v>526.25</v>
      </c>
      <c r="AD11" s="8">
        <v>359.58</v>
      </c>
      <c r="AE11" s="8">
        <v>651.25</v>
      </c>
      <c r="AF11" s="8">
        <v>651.25</v>
      </c>
      <c r="AG11" s="8">
        <v>484.58</v>
      </c>
      <c r="AH11" s="8">
        <v>484.58</v>
      </c>
      <c r="AI11" s="8">
        <v>617.91</v>
      </c>
      <c r="AJ11" s="8">
        <v>482.5</v>
      </c>
      <c r="AK11" s="8">
        <v>482.5</v>
      </c>
      <c r="AL11" s="8">
        <v>482.5</v>
      </c>
      <c r="AM11" s="8">
        <v>482.5</v>
      </c>
    </row>
    <row r="12" spans="1:39">
      <c r="A12" s="7" t="s">
        <v>44</v>
      </c>
      <c r="B12" s="7" t="s">
        <v>47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>
        <v>-433.34</v>
      </c>
      <c r="P12" s="8">
        <v>3588</v>
      </c>
      <c r="Q12" s="8">
        <v>2000</v>
      </c>
      <c r="R12" s="8">
        <v>2388</v>
      </c>
      <c r="S12" s="8">
        <v>1188</v>
      </c>
      <c r="T12" s="8"/>
      <c r="U12" s="8">
        <v>1800</v>
      </c>
      <c r="V12" s="8">
        <v>1188</v>
      </c>
      <c r="W12" s="8">
        <v>7188</v>
      </c>
      <c r="X12" s="8">
        <v>5276</v>
      </c>
      <c r="Y12" s="8">
        <v>1188</v>
      </c>
      <c r="Z12" s="8">
        <v>1188</v>
      </c>
      <c r="AA12" s="8">
        <v>956.33</v>
      </c>
      <c r="AB12" s="8">
        <v>1286.5899999999999</v>
      </c>
      <c r="AC12" s="8">
        <v>1286.5899999999999</v>
      </c>
      <c r="AD12" s="8">
        <v>1570</v>
      </c>
      <c r="AE12" s="8">
        <v>1570</v>
      </c>
      <c r="AF12" s="8">
        <v>1570</v>
      </c>
      <c r="AG12" s="8">
        <v>1622.08</v>
      </c>
      <c r="AH12" s="8">
        <v>1472.08</v>
      </c>
      <c r="AI12" s="8">
        <v>1271.08</v>
      </c>
      <c r="AJ12" s="8">
        <v>1370.08</v>
      </c>
      <c r="AK12" s="8">
        <v>1908.75</v>
      </c>
      <c r="AL12" s="8">
        <v>1867.08</v>
      </c>
      <c r="AM12" s="8">
        <v>1867.08</v>
      </c>
    </row>
    <row r="13" spans="1:39">
      <c r="A13" s="7" t="s">
        <v>44</v>
      </c>
      <c r="B13" s="7" t="s">
        <v>48</v>
      </c>
      <c r="C13" s="8">
        <v>5025</v>
      </c>
      <c r="D13" s="8">
        <v>4025</v>
      </c>
      <c r="E13" s="8">
        <v>8125</v>
      </c>
      <c r="F13" s="8">
        <v>5425</v>
      </c>
      <c r="G13" s="8">
        <v>3025</v>
      </c>
      <c r="H13" s="8">
        <v>11515</v>
      </c>
      <c r="I13" s="8">
        <v>25185</v>
      </c>
      <c r="J13" s="8">
        <v>20925</v>
      </c>
      <c r="K13" s="8">
        <v>11275</v>
      </c>
      <c r="L13" s="8">
        <v>15475</v>
      </c>
      <c r="M13" s="8">
        <v>6475</v>
      </c>
      <c r="N13" s="8">
        <v>15563</v>
      </c>
      <c r="O13" s="8">
        <v>19185</v>
      </c>
      <c r="P13" s="8">
        <v>500</v>
      </c>
      <c r="Q13" s="8">
        <v>27500</v>
      </c>
      <c r="R13" s="8">
        <v>6000</v>
      </c>
      <c r="S13" s="8">
        <v>53685</v>
      </c>
      <c r="T13" s="8">
        <v>20900</v>
      </c>
      <c r="U13" s="8">
        <v>44547</v>
      </c>
      <c r="V13" s="8">
        <v>16685</v>
      </c>
      <c r="W13" s="8"/>
      <c r="X13" s="8">
        <v>9500</v>
      </c>
      <c r="Y13" s="8">
        <v>12000</v>
      </c>
      <c r="Z13" s="8"/>
      <c r="AA13" s="8">
        <v>14699.05</v>
      </c>
      <c r="AB13" s="8">
        <v>15407.38</v>
      </c>
      <c r="AC13" s="8">
        <v>15365.71</v>
      </c>
      <c r="AD13" s="8">
        <v>-6148.87</v>
      </c>
      <c r="AE13" s="8">
        <v>13167.6</v>
      </c>
      <c r="AF13" s="8">
        <v>13167.61</v>
      </c>
      <c r="AG13" s="8">
        <v>17532.39</v>
      </c>
      <c r="AH13" s="8">
        <v>17892.810000000001</v>
      </c>
      <c r="AI13" s="8">
        <v>20418.650000000001</v>
      </c>
      <c r="AJ13" s="8">
        <v>30512.400000000001</v>
      </c>
      <c r="AK13" s="8">
        <v>16418.419999999998</v>
      </c>
      <c r="AL13" s="8">
        <v>15170.5</v>
      </c>
      <c r="AM13" s="8">
        <v>4253.83</v>
      </c>
    </row>
    <row r="14" spans="1:39">
      <c r="A14" s="7" t="s">
        <v>44</v>
      </c>
      <c r="B14" s="7" t="s">
        <v>49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>
        <v>3500</v>
      </c>
      <c r="O14" s="8">
        <v>8425</v>
      </c>
      <c r="P14" s="8">
        <v>1025</v>
      </c>
      <c r="Q14" s="8">
        <v>2525</v>
      </c>
      <c r="R14" s="8">
        <v>12625</v>
      </c>
      <c r="S14" s="8">
        <v>3000</v>
      </c>
      <c r="T14" s="8">
        <v>8275</v>
      </c>
      <c r="U14" s="8">
        <v>27475</v>
      </c>
      <c r="V14" s="8">
        <v>31400</v>
      </c>
      <c r="W14" s="8">
        <v>10768.6</v>
      </c>
      <c r="X14" s="8">
        <v>4500</v>
      </c>
      <c r="Y14" s="8">
        <v>4000</v>
      </c>
      <c r="Z14" s="8"/>
      <c r="AA14" s="8">
        <v>7553.36</v>
      </c>
      <c r="AB14" s="8">
        <v>7720.05</v>
      </c>
      <c r="AC14" s="8">
        <v>2679.38</v>
      </c>
      <c r="AD14" s="8">
        <v>8303.2800000000007</v>
      </c>
      <c r="AE14" s="8">
        <v>9460.98</v>
      </c>
      <c r="AF14" s="8">
        <v>8983.8799999999992</v>
      </c>
      <c r="AG14" s="8">
        <v>10642.1</v>
      </c>
      <c r="AH14" s="8">
        <v>12127.52</v>
      </c>
      <c r="AI14" s="8">
        <v>13118.71</v>
      </c>
      <c r="AJ14" s="8">
        <v>14612.53</v>
      </c>
      <c r="AK14" s="8">
        <v>16335.69</v>
      </c>
      <c r="AL14" s="8">
        <v>16869.03</v>
      </c>
      <c r="AM14" s="8">
        <v>18035.689999999999</v>
      </c>
    </row>
    <row r="15" spans="1:39">
      <c r="A15" s="7" t="s">
        <v>44</v>
      </c>
      <c r="B15" s="7" t="s">
        <v>50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>
        <v>10000</v>
      </c>
      <c r="O15" s="8"/>
      <c r="P15" s="8"/>
      <c r="Q15" s="8">
        <v>33000</v>
      </c>
      <c r="R15" s="8">
        <v>50875</v>
      </c>
      <c r="S15" s="8"/>
      <c r="T15" s="8"/>
      <c r="U15" s="8">
        <v>13500</v>
      </c>
      <c r="V15" s="8">
        <v>43000</v>
      </c>
      <c r="W15" s="8">
        <v>12500</v>
      </c>
      <c r="X15" s="8">
        <v>22000</v>
      </c>
      <c r="Y15" s="8">
        <v>84000</v>
      </c>
      <c r="Z15" s="8">
        <v>-16400</v>
      </c>
      <c r="AA15" s="8">
        <v>21789.59</v>
      </c>
      <c r="AB15" s="8">
        <v>20956.25</v>
      </c>
      <c r="AC15" s="8">
        <v>19289.580000000002</v>
      </c>
      <c r="AD15" s="8">
        <v>41289.58</v>
      </c>
      <c r="AE15" s="8">
        <v>24218.75</v>
      </c>
      <c r="AF15" s="8">
        <v>24218.75</v>
      </c>
      <c r="AG15" s="8">
        <v>12458.32</v>
      </c>
      <c r="AH15" s="8">
        <v>10166.65</v>
      </c>
      <c r="AI15" s="8">
        <v>8333.32</v>
      </c>
      <c r="AJ15" s="8">
        <v>-499.68</v>
      </c>
      <c r="AK15" s="8">
        <v>12429.16</v>
      </c>
      <c r="AL15" s="8">
        <v>17512.490000000002</v>
      </c>
      <c r="AM15" s="8">
        <v>-5404.18</v>
      </c>
    </row>
    <row r="16" spans="1:39">
      <c r="A16" s="7" t="s">
        <v>44</v>
      </c>
      <c r="B16" s="7" t="s">
        <v>51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>
        <v>4900</v>
      </c>
      <c r="Q16" s="8">
        <v>150000</v>
      </c>
      <c r="R16" s="8"/>
      <c r="S16" s="8"/>
      <c r="T16" s="8">
        <v>60000</v>
      </c>
      <c r="U16" s="8">
        <v>72000</v>
      </c>
      <c r="V16" s="8">
        <v>36000</v>
      </c>
      <c r="W16" s="8">
        <v>8460</v>
      </c>
      <c r="X16" s="8">
        <v>10000</v>
      </c>
      <c r="Y16" s="8">
        <v>2000</v>
      </c>
      <c r="Z16" s="8"/>
      <c r="AA16" s="8">
        <v>6452.5</v>
      </c>
      <c r="AB16" s="8">
        <v>7702.5</v>
      </c>
      <c r="AC16" s="8">
        <v>12701.5</v>
      </c>
      <c r="AD16" s="8">
        <v>7294.17</v>
      </c>
      <c r="AE16" s="8">
        <v>31110.74</v>
      </c>
      <c r="AF16" s="8">
        <v>31110.75</v>
      </c>
      <c r="AG16" s="8">
        <v>38652.5</v>
      </c>
      <c r="AH16" s="8">
        <v>42319.33</v>
      </c>
      <c r="AI16" s="8">
        <v>44486</v>
      </c>
      <c r="AJ16" s="8">
        <v>44486</v>
      </c>
      <c r="AK16" s="8">
        <v>47985.91</v>
      </c>
      <c r="AL16" s="8">
        <v>50485.91</v>
      </c>
      <c r="AM16" s="8">
        <v>200485.91</v>
      </c>
    </row>
    <row r="17" spans="1:39">
      <c r="A17" s="7" t="s">
        <v>44</v>
      </c>
      <c r="B17" s="7" t="s">
        <v>52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>
      <c r="A18" s="7" t="s">
        <v>44</v>
      </c>
      <c r="B18" s="7" t="s">
        <v>53</v>
      </c>
      <c r="C18" s="8">
        <v>480</v>
      </c>
      <c r="D18" s="8">
        <v>640</v>
      </c>
      <c r="E18" s="8">
        <v>160</v>
      </c>
      <c r="F18" s="8">
        <v>1569</v>
      </c>
      <c r="G18" s="8">
        <v>320</v>
      </c>
      <c r="H18" s="8">
        <v>278</v>
      </c>
      <c r="I18" s="8">
        <v>320</v>
      </c>
      <c r="J18" s="8">
        <v>699</v>
      </c>
      <c r="K18" s="8">
        <v>160</v>
      </c>
      <c r="L18" s="8">
        <v>607.29</v>
      </c>
      <c r="M18" s="8">
        <v>160</v>
      </c>
      <c r="N18" s="8"/>
      <c r="O18" s="8"/>
      <c r="P18" s="8">
        <v>160</v>
      </c>
      <c r="Q18" s="8">
        <v>160</v>
      </c>
      <c r="R18" s="8">
        <v>573</v>
      </c>
      <c r="S18" s="8"/>
      <c r="T18" s="8">
        <v>160</v>
      </c>
      <c r="U18" s="8">
        <v>160</v>
      </c>
      <c r="V18" s="8">
        <v>480</v>
      </c>
      <c r="W18" s="8">
        <v>160</v>
      </c>
      <c r="X18" s="8">
        <v>160</v>
      </c>
      <c r="Y18" s="8"/>
      <c r="Z18" s="8">
        <v>192.93</v>
      </c>
      <c r="AA18" s="8">
        <v>402.45</v>
      </c>
      <c r="AB18" s="8">
        <v>320</v>
      </c>
      <c r="AC18" s="8">
        <v>359</v>
      </c>
      <c r="AD18" s="8">
        <v>160</v>
      </c>
      <c r="AE18" s="8"/>
      <c r="AF18" s="8"/>
      <c r="AG18" s="8"/>
      <c r="AH18" s="8"/>
      <c r="AI18" s="8"/>
      <c r="AJ18" s="8">
        <v>398</v>
      </c>
      <c r="AK18" s="8"/>
      <c r="AL18" s="8"/>
      <c r="AM18" s="8"/>
    </row>
    <row r="19" spans="1:39">
      <c r="A19" s="7" t="s">
        <v>44</v>
      </c>
      <c r="B19" s="7" t="s">
        <v>54</v>
      </c>
      <c r="C19" s="8"/>
      <c r="D19" s="8"/>
      <c r="E19" s="8"/>
      <c r="F19" s="8"/>
      <c r="G19" s="8"/>
      <c r="H19" s="8"/>
      <c r="I19" s="8"/>
      <c r="J19" s="8"/>
      <c r="K19" s="8">
        <v>16619</v>
      </c>
      <c r="L19" s="8"/>
      <c r="M19" s="8"/>
      <c r="N19" s="8"/>
      <c r="O19" s="8"/>
      <c r="P19" s="8"/>
      <c r="Q19" s="8"/>
      <c r="R19" s="8">
        <v>40000</v>
      </c>
      <c r="S19" s="8"/>
      <c r="T19" s="8"/>
      <c r="U19" s="8"/>
      <c r="V19" s="8"/>
      <c r="W19" s="8"/>
      <c r="X19" s="8">
        <v>5000</v>
      </c>
      <c r="Y19" s="8"/>
      <c r="Z19" s="8">
        <v>-10000</v>
      </c>
      <c r="AA19" s="8">
        <v>5262.46</v>
      </c>
      <c r="AB19" s="8">
        <v>3595.79</v>
      </c>
      <c r="AC19" s="8">
        <v>3595.79</v>
      </c>
      <c r="AD19" s="8">
        <v>3595.79</v>
      </c>
      <c r="AE19" s="8">
        <v>4429.12</v>
      </c>
      <c r="AF19" s="8">
        <v>4429.12</v>
      </c>
      <c r="AG19" s="8">
        <v>4429.12</v>
      </c>
      <c r="AH19" s="8">
        <v>4429.12</v>
      </c>
      <c r="AI19" s="8">
        <v>3750</v>
      </c>
      <c r="AJ19" s="8">
        <v>3750</v>
      </c>
      <c r="AK19" s="8">
        <v>3333.33</v>
      </c>
      <c r="AL19" s="8">
        <v>2500</v>
      </c>
      <c r="AM19" s="8">
        <v>833.33</v>
      </c>
    </row>
    <row r="20" spans="1:39">
      <c r="A20" s="7" t="s">
        <v>44</v>
      </c>
      <c r="B20" s="7" t="s">
        <v>55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>
        <v>3500</v>
      </c>
      <c r="AA20" s="8">
        <v>291.67</v>
      </c>
      <c r="AB20" s="8">
        <v>2791.67</v>
      </c>
      <c r="AC20" s="8">
        <v>2791.67</v>
      </c>
      <c r="AD20" s="8">
        <v>2791.67</v>
      </c>
      <c r="AE20" s="8">
        <v>2791.67</v>
      </c>
      <c r="AF20" s="8">
        <v>2791.67</v>
      </c>
      <c r="AG20" s="8">
        <v>2500</v>
      </c>
      <c r="AH20" s="8">
        <v>2500</v>
      </c>
      <c r="AI20" s="8">
        <v>2749.92</v>
      </c>
      <c r="AJ20" s="8">
        <v>2749.92</v>
      </c>
      <c r="AK20" s="8">
        <v>3583.25</v>
      </c>
      <c r="AL20" s="8">
        <v>3583.25</v>
      </c>
      <c r="AM20" s="8">
        <v>4374.91</v>
      </c>
    </row>
    <row r="21" spans="1:39">
      <c r="A21" s="7" t="s">
        <v>44</v>
      </c>
      <c r="B21" s="7" t="s">
        <v>56</v>
      </c>
      <c r="C21" s="8"/>
      <c r="D21" s="8">
        <v>750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>
      <c r="A22" s="7" t="s">
        <v>44</v>
      </c>
      <c r="B22" s="7" t="s">
        <v>57</v>
      </c>
      <c r="C22" s="8"/>
      <c r="D22" s="8"/>
      <c r="E22" s="8"/>
      <c r="F22" s="8"/>
      <c r="G22" s="8"/>
      <c r="H22" s="8"/>
      <c r="I22" s="8"/>
      <c r="J22" s="8">
        <v>1000</v>
      </c>
      <c r="K22" s="8"/>
      <c r="L22" s="8"/>
      <c r="M22" s="8">
        <v>2000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1:39">
      <c r="A23" s="7" t="s">
        <v>44</v>
      </c>
      <c r="B23" s="7" t="s">
        <v>58</v>
      </c>
      <c r="C23" s="8">
        <v>99</v>
      </c>
      <c r="D23" s="8">
        <v>349</v>
      </c>
      <c r="E23" s="8">
        <v>99</v>
      </c>
      <c r="F23" s="8"/>
      <c r="G23" s="8">
        <v>599</v>
      </c>
      <c r="H23" s="8"/>
      <c r="I23" s="8">
        <v>250</v>
      </c>
      <c r="J23" s="8">
        <v>349</v>
      </c>
      <c r="K23" s="8"/>
      <c r="L23" s="8"/>
      <c r="M23" s="8">
        <v>550</v>
      </c>
      <c r="N23" s="8">
        <v>550.44000000000005</v>
      </c>
      <c r="O23" s="8">
        <v>624</v>
      </c>
      <c r="P23" s="8">
        <v>99</v>
      </c>
      <c r="Q23" s="8">
        <v>396</v>
      </c>
      <c r="R23" s="8"/>
      <c r="S23" s="8"/>
      <c r="T23" s="8">
        <v>374</v>
      </c>
      <c r="U23" s="8">
        <v>697</v>
      </c>
      <c r="V23" s="8">
        <v>973</v>
      </c>
      <c r="W23" s="8">
        <v>972</v>
      </c>
      <c r="X23" s="8"/>
      <c r="Y23" s="8">
        <v>573</v>
      </c>
      <c r="Z23" s="8"/>
      <c r="AA23" s="8"/>
      <c r="AB23" s="8">
        <v>574</v>
      </c>
      <c r="AC23" s="8">
        <v>574</v>
      </c>
      <c r="AD23" s="8"/>
      <c r="AE23" s="8"/>
      <c r="AF23" s="8">
        <v>598</v>
      </c>
      <c r="AG23" s="8">
        <v>499</v>
      </c>
      <c r="AH23" s="8">
        <v>773</v>
      </c>
      <c r="AI23" s="8">
        <v>199</v>
      </c>
      <c r="AJ23" s="8"/>
      <c r="AK23" s="8">
        <v>199</v>
      </c>
      <c r="AL23" s="8">
        <v>199</v>
      </c>
      <c r="AM23" s="8">
        <v>597</v>
      </c>
    </row>
    <row r="24" spans="1:39">
      <c r="A24" s="7" t="s">
        <v>44</v>
      </c>
      <c r="B24" s="7" t="s">
        <v>59</v>
      </c>
      <c r="C24" s="8">
        <v>90900</v>
      </c>
      <c r="D24" s="8">
        <v>4500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>
      <c r="A25" s="7" t="s">
        <v>44</v>
      </c>
      <c r="B25" s="7" t="s">
        <v>60</v>
      </c>
      <c r="C25" s="8"/>
      <c r="D25" s="8"/>
      <c r="E25" s="8"/>
      <c r="F25" s="8">
        <v>20000</v>
      </c>
      <c r="G25" s="8">
        <v>10000</v>
      </c>
      <c r="H25" s="8"/>
      <c r="I25" s="8"/>
      <c r="J25" s="8"/>
      <c r="K25" s="8">
        <v>29500</v>
      </c>
      <c r="L25" s="8"/>
      <c r="M25" s="8">
        <v>3400</v>
      </c>
      <c r="N25" s="8">
        <v>17500</v>
      </c>
      <c r="O25" s="8"/>
      <c r="P25" s="8"/>
      <c r="Q25" s="8"/>
      <c r="R25" s="8"/>
      <c r="S25" s="8"/>
      <c r="T25" s="8"/>
      <c r="U25" s="8">
        <v>10000</v>
      </c>
      <c r="V25" s="8"/>
      <c r="W25" s="8"/>
      <c r="X25" s="8">
        <v>11600</v>
      </c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>
        <v>7000</v>
      </c>
    </row>
    <row r="26" spans="1:39">
      <c r="A26" s="7" t="s">
        <v>44</v>
      </c>
      <c r="B26" s="7" t="s">
        <v>61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>
        <v>-688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>
      <c r="A27" s="7" t="s">
        <v>44</v>
      </c>
      <c r="B27" s="7" t="s">
        <v>62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>
      <c r="A28" s="7" t="s">
        <v>44</v>
      </c>
      <c r="B28" s="7" t="s">
        <v>63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>
        <v>25000</v>
      </c>
    </row>
    <row r="29" spans="1:39">
      <c r="A29" s="7" t="s">
        <v>44</v>
      </c>
      <c r="B29" s="7" t="s">
        <v>64</v>
      </c>
      <c r="C29" s="8"/>
      <c r="D29" s="8"/>
      <c r="E29" s="8"/>
      <c r="F29" s="8"/>
      <c r="G29" s="8"/>
      <c r="H29" s="8"/>
      <c r="I29" s="8"/>
      <c r="J29" s="8"/>
      <c r="K29" s="8">
        <v>2500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</row>
    <row r="30" spans="1:39">
      <c r="A30" s="7" t="s">
        <v>44</v>
      </c>
      <c r="B30" s="7" t="s">
        <v>65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>
        <v>-500</v>
      </c>
      <c r="O30" s="8"/>
      <c r="P30" s="8"/>
      <c r="Q30" s="8"/>
      <c r="R30" s="8">
        <v>-900</v>
      </c>
      <c r="S30" s="8">
        <v>-905</v>
      </c>
      <c r="T30" s="8">
        <v>-2000</v>
      </c>
      <c r="U30" s="8">
        <v>-13700</v>
      </c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</row>
    <row r="31" spans="1:39">
      <c r="A31" s="5"/>
      <c r="B31" s="5" t="s">
        <v>66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spans="1:39">
      <c r="A32" s="7" t="s">
        <v>67</v>
      </c>
      <c r="B32" s="7" t="s">
        <v>68</v>
      </c>
      <c r="C32" s="8">
        <v>1490.25</v>
      </c>
      <c r="D32" s="8">
        <v>1961.75</v>
      </c>
      <c r="E32" s="8">
        <v>2256.5</v>
      </c>
      <c r="F32" s="8">
        <v>1682.5</v>
      </c>
      <c r="G32" s="8">
        <v>1460.5</v>
      </c>
      <c r="H32" s="8">
        <v>1510</v>
      </c>
      <c r="I32" s="8">
        <v>1141</v>
      </c>
      <c r="J32" s="8">
        <v>1710</v>
      </c>
      <c r="K32" s="8">
        <v>3985.5</v>
      </c>
      <c r="L32" s="8">
        <v>4798.25</v>
      </c>
      <c r="M32" s="8">
        <v>4439.5</v>
      </c>
      <c r="N32" s="8">
        <v>3277.25</v>
      </c>
      <c r="O32" s="8">
        <v>3926.25</v>
      </c>
      <c r="P32" s="8">
        <v>5388.45</v>
      </c>
      <c r="Q32" s="8">
        <v>1531.5</v>
      </c>
      <c r="R32" s="8">
        <v>1475.25</v>
      </c>
      <c r="S32" s="8">
        <v>4007.1</v>
      </c>
      <c r="T32" s="8">
        <v>977.75</v>
      </c>
      <c r="U32" s="8">
        <v>828.5</v>
      </c>
      <c r="V32" s="8">
        <v>1001</v>
      </c>
      <c r="W32" s="8">
        <v>1223</v>
      </c>
      <c r="X32" s="8">
        <v>1046</v>
      </c>
      <c r="Y32" s="8">
        <v>1087.5</v>
      </c>
      <c r="Z32" s="8">
        <v>1426</v>
      </c>
      <c r="AA32" s="8">
        <v>1366.55</v>
      </c>
      <c r="AB32" s="8">
        <v>1848.5</v>
      </c>
      <c r="AC32" s="8">
        <v>2055.5</v>
      </c>
      <c r="AD32" s="8">
        <v>2091.25</v>
      </c>
      <c r="AE32" s="8">
        <v>1433.5</v>
      </c>
      <c r="AF32" s="8">
        <v>959</v>
      </c>
      <c r="AG32" s="8">
        <v>1522.75</v>
      </c>
      <c r="AH32" s="8">
        <v>1291.5</v>
      </c>
      <c r="AI32" s="8">
        <v>880.5</v>
      </c>
      <c r="AJ32" s="8">
        <v>1051.5</v>
      </c>
      <c r="AK32" s="8">
        <v>1221.5</v>
      </c>
      <c r="AL32" s="8">
        <v>1442.88</v>
      </c>
      <c r="AM32" s="8">
        <v>874.38</v>
      </c>
    </row>
    <row r="33" spans="1:39">
      <c r="A33" s="7" t="s">
        <v>67</v>
      </c>
      <c r="B33" s="7" t="s">
        <v>69</v>
      </c>
      <c r="C33" s="8">
        <v>16763.75</v>
      </c>
      <c r="D33" s="8">
        <v>56315</v>
      </c>
      <c r="E33" s="8">
        <v>29381.29</v>
      </c>
      <c r="F33" s="8">
        <v>29832.5</v>
      </c>
      <c r="G33" s="8">
        <v>29998.13</v>
      </c>
      <c r="H33" s="8">
        <v>37746.559999999998</v>
      </c>
      <c r="I33" s="8">
        <v>46902.2</v>
      </c>
      <c r="J33" s="8">
        <v>21693.13</v>
      </c>
      <c r="K33" s="8">
        <v>23392.240000000002</v>
      </c>
      <c r="L33" s="8">
        <v>36892.69</v>
      </c>
      <c r="M33" s="8">
        <v>35527.32</v>
      </c>
      <c r="N33" s="8">
        <v>39632.81</v>
      </c>
      <c r="O33" s="8">
        <v>30605.94</v>
      </c>
      <c r="P33" s="8"/>
      <c r="Q33" s="8"/>
      <c r="R33" s="8">
        <v>-19241.13</v>
      </c>
      <c r="S33" s="8"/>
      <c r="T33" s="8"/>
      <c r="U33" s="8"/>
      <c r="V33" s="8"/>
      <c r="W33" s="8"/>
      <c r="X33" s="8"/>
      <c r="Y33" s="8"/>
      <c r="Z33" s="8"/>
      <c r="AA33" s="8">
        <v>8201.25</v>
      </c>
      <c r="AB33" s="8">
        <v>6345</v>
      </c>
      <c r="AC33" s="8">
        <v>2868.75</v>
      </c>
      <c r="AD33" s="8">
        <v>18258.75</v>
      </c>
      <c r="AE33" s="8">
        <v>10855</v>
      </c>
      <c r="AF33" s="8">
        <v>30476.25</v>
      </c>
      <c r="AG33" s="8">
        <v>3575</v>
      </c>
      <c r="AH33" s="8">
        <v>114585</v>
      </c>
      <c r="AI33" s="8">
        <v>14800</v>
      </c>
      <c r="AJ33" s="8">
        <v>56050</v>
      </c>
      <c r="AK33" s="8">
        <v>44735.25</v>
      </c>
      <c r="AL33" s="8">
        <v>4311</v>
      </c>
      <c r="AM33" s="8">
        <v>543.75</v>
      </c>
    </row>
    <row r="34" spans="1:39">
      <c r="A34" s="5"/>
      <c r="B34" s="5" t="s">
        <v>70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spans="1:39">
      <c r="A35" s="7" t="s">
        <v>71</v>
      </c>
      <c r="B35" s="7" t="s">
        <v>72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>
        <v>18.48</v>
      </c>
      <c r="AM35" s="8"/>
    </row>
    <row r="36" spans="1:39">
      <c r="A36" s="7" t="s">
        <v>71</v>
      </c>
      <c r="B36" s="7" t="s">
        <v>73</v>
      </c>
      <c r="C36" s="8">
        <v>25</v>
      </c>
      <c r="D36" s="8">
        <v>25</v>
      </c>
      <c r="E36" s="8">
        <v>65</v>
      </c>
      <c r="F36" s="8">
        <v>50</v>
      </c>
      <c r="G36" s="8">
        <v>50</v>
      </c>
      <c r="H36" s="8">
        <v>50</v>
      </c>
      <c r="I36" s="8">
        <v>50</v>
      </c>
      <c r="J36" s="8">
        <v>50</v>
      </c>
      <c r="K36" s="8">
        <v>50</v>
      </c>
      <c r="L36" s="8">
        <v>145</v>
      </c>
      <c r="M36" s="8">
        <v>50</v>
      </c>
      <c r="N36" s="8">
        <v>50</v>
      </c>
      <c r="O36" s="8">
        <v>49.99</v>
      </c>
      <c r="P36" s="8">
        <v>50</v>
      </c>
      <c r="Q36" s="8">
        <v>50</v>
      </c>
      <c r="R36" s="8">
        <v>50</v>
      </c>
      <c r="S36" s="8">
        <v>50</v>
      </c>
      <c r="T36" s="8">
        <v>70</v>
      </c>
      <c r="U36" s="8">
        <v>50</v>
      </c>
      <c r="V36" s="8">
        <v>50</v>
      </c>
      <c r="W36" s="8">
        <v>50</v>
      </c>
      <c r="X36" s="8">
        <v>50</v>
      </c>
      <c r="Y36" s="8">
        <v>89.99</v>
      </c>
      <c r="Z36" s="8"/>
      <c r="AA36" s="8">
        <v>50</v>
      </c>
      <c r="AB36" s="8">
        <v>50</v>
      </c>
      <c r="AC36" s="8">
        <v>54</v>
      </c>
      <c r="AD36" s="8">
        <v>54</v>
      </c>
      <c r="AE36" s="8">
        <v>54</v>
      </c>
      <c r="AF36" s="8">
        <v>54</v>
      </c>
      <c r="AG36" s="8">
        <v>54</v>
      </c>
      <c r="AH36" s="8">
        <v>54</v>
      </c>
      <c r="AI36" s="8">
        <v>54.47</v>
      </c>
      <c r="AJ36" s="8">
        <v>54</v>
      </c>
      <c r="AK36" s="8">
        <v>54</v>
      </c>
      <c r="AL36" s="8">
        <v>54</v>
      </c>
      <c r="AM36" s="8">
        <v>54</v>
      </c>
    </row>
    <row r="37" spans="1:39">
      <c r="A37" s="7" t="s">
        <v>71</v>
      </c>
      <c r="B37" s="7" t="s">
        <v>74</v>
      </c>
      <c r="C37" s="8"/>
      <c r="D37" s="8"/>
      <c r="E37" s="8">
        <v>100</v>
      </c>
      <c r="F37" s="8"/>
      <c r="G37" s="8"/>
      <c r="H37" s="8"/>
      <c r="I37" s="8"/>
      <c r="J37" s="8"/>
      <c r="K37" s="8"/>
      <c r="L37" s="8"/>
      <c r="M37" s="8">
        <v>58.18</v>
      </c>
      <c r="N37" s="8">
        <v>1118.43</v>
      </c>
      <c r="O37" s="8">
        <v>86.21</v>
      </c>
      <c r="P37" s="8">
        <v>268.5</v>
      </c>
      <c r="Q37" s="8"/>
      <c r="R37" s="8"/>
      <c r="S37" s="8"/>
      <c r="T37" s="8">
        <v>723.98</v>
      </c>
      <c r="U37" s="8">
        <v>1080.68</v>
      </c>
      <c r="V37" s="8"/>
      <c r="W37" s="8"/>
      <c r="X37" s="8">
        <v>95.95</v>
      </c>
      <c r="Y37" s="8"/>
      <c r="Z37" s="8"/>
      <c r="AA37" s="8"/>
      <c r="AB37" s="8"/>
      <c r="AC37" s="8"/>
      <c r="AD37" s="8">
        <v>67.95</v>
      </c>
      <c r="AE37" s="8"/>
      <c r="AF37" s="8"/>
      <c r="AG37" s="8">
        <v>181.85</v>
      </c>
      <c r="AH37" s="8">
        <v>84.41</v>
      </c>
      <c r="AI37" s="8">
        <v>140.38999999999999</v>
      </c>
      <c r="AJ37" s="8">
        <v>85.95</v>
      </c>
      <c r="AK37" s="8">
        <v>653.99</v>
      </c>
      <c r="AL37" s="8">
        <v>308.07</v>
      </c>
      <c r="AM37" s="8"/>
    </row>
    <row r="38" spans="1:39">
      <c r="A38" s="7" t="s">
        <v>71</v>
      </c>
      <c r="B38" s="7" t="s">
        <v>75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</row>
    <row r="39" spans="1:39">
      <c r="A39" s="7" t="s">
        <v>71</v>
      </c>
      <c r="B39" s="7" t="s">
        <v>76</v>
      </c>
      <c r="C39" s="8">
        <v>2526.5</v>
      </c>
      <c r="D39" s="8">
        <v>1634.25</v>
      </c>
      <c r="E39" s="8">
        <v>1634.25</v>
      </c>
      <c r="F39" s="8">
        <v>1903.15</v>
      </c>
      <c r="G39" s="8">
        <v>1744.49</v>
      </c>
      <c r="H39" s="8">
        <v>1755.2</v>
      </c>
      <c r="I39" s="8">
        <v>3268.5</v>
      </c>
      <c r="J39" s="8">
        <v>7312.9</v>
      </c>
      <c r="K39" s="8">
        <v>1523.25</v>
      </c>
      <c r="L39" s="8">
        <v>1587.15</v>
      </c>
      <c r="M39" s="8">
        <v>1523.25</v>
      </c>
      <c r="N39" s="8">
        <v>1799.13</v>
      </c>
      <c r="O39" s="8">
        <v>2021.76</v>
      </c>
      <c r="P39" s="8">
        <v>2619.4899999999998</v>
      </c>
      <c r="Q39" s="8">
        <v>1996.52</v>
      </c>
      <c r="R39" s="8">
        <v>2139.71</v>
      </c>
      <c r="S39" s="8">
        <v>2292.6999999999998</v>
      </c>
      <c r="T39" s="8">
        <v>8334.5499999999993</v>
      </c>
      <c r="U39" s="8">
        <v>3899.45</v>
      </c>
      <c r="V39" s="8">
        <v>2649.79</v>
      </c>
      <c r="W39" s="8">
        <v>8419.6</v>
      </c>
      <c r="X39" s="8">
        <v>13348.57</v>
      </c>
      <c r="Y39" s="8">
        <v>2373.46</v>
      </c>
      <c r="Z39" s="8">
        <v>13156.53</v>
      </c>
      <c r="AA39" s="8">
        <v>3750.2</v>
      </c>
      <c r="AB39" s="8">
        <v>3357.42</v>
      </c>
      <c r="AC39" s="8">
        <v>5025.13</v>
      </c>
      <c r="AD39" s="8">
        <v>5806.02</v>
      </c>
      <c r="AE39" s="8">
        <v>5698.98</v>
      </c>
      <c r="AF39" s="8">
        <v>6627.01</v>
      </c>
      <c r="AG39" s="8">
        <v>7133.6</v>
      </c>
      <c r="AH39" s="8">
        <v>13992.77</v>
      </c>
      <c r="AI39" s="8">
        <v>6973.98</v>
      </c>
      <c r="AJ39" s="8">
        <v>7835.99</v>
      </c>
      <c r="AK39" s="8">
        <v>5765.44</v>
      </c>
      <c r="AL39" s="8">
        <v>6230.79</v>
      </c>
      <c r="AM39" s="8">
        <v>6417.51</v>
      </c>
    </row>
    <row r="40" spans="1:39">
      <c r="A40" s="7" t="s">
        <v>71</v>
      </c>
      <c r="B40" s="7" t="s">
        <v>77</v>
      </c>
      <c r="C40" s="8"/>
      <c r="D40" s="8"/>
      <c r="E40" s="8">
        <v>438.8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>
        <v>1410</v>
      </c>
      <c r="AJ40" s="8"/>
      <c r="AK40" s="8"/>
      <c r="AL40" s="8"/>
      <c r="AM40" s="8"/>
    </row>
    <row r="41" spans="1:39">
      <c r="A41" s="7" t="s">
        <v>71</v>
      </c>
      <c r="B41" s="7" t="s">
        <v>78</v>
      </c>
      <c r="C41" s="8"/>
      <c r="D41" s="8"/>
      <c r="E41" s="8"/>
      <c r="F41" s="8"/>
      <c r="G41" s="8">
        <v>106.72</v>
      </c>
      <c r="H41" s="8"/>
      <c r="I41" s="8">
        <v>48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>
        <v>787.37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1:39">
      <c r="A42" s="7" t="s">
        <v>71</v>
      </c>
      <c r="B42" s="7" t="s">
        <v>79</v>
      </c>
      <c r="C42" s="8"/>
      <c r="D42" s="8">
        <v>173.28</v>
      </c>
      <c r="E42" s="8">
        <v>114.46</v>
      </c>
      <c r="F42" s="8">
        <v>96.42</v>
      </c>
      <c r="G42" s="8">
        <v>81.209999999999994</v>
      </c>
      <c r="H42" s="8">
        <v>27.11</v>
      </c>
      <c r="I42" s="8">
        <v>324.75</v>
      </c>
      <c r="J42" s="8">
        <v>507.48</v>
      </c>
      <c r="K42" s="8">
        <v>260.37</v>
      </c>
      <c r="L42" s="8">
        <v>723.33</v>
      </c>
      <c r="M42" s="8">
        <v>57.78</v>
      </c>
      <c r="N42" s="8">
        <v>224.53</v>
      </c>
      <c r="O42" s="8">
        <v>170.69</v>
      </c>
      <c r="P42" s="8">
        <v>148.25</v>
      </c>
      <c r="Q42" s="8">
        <v>94.07</v>
      </c>
      <c r="R42" s="8">
        <v>203.81</v>
      </c>
      <c r="S42" s="8">
        <v>113.99</v>
      </c>
      <c r="T42" s="8">
        <v>34.549999999999997</v>
      </c>
      <c r="U42" s="8">
        <v>102.51</v>
      </c>
      <c r="V42" s="8">
        <v>242.99</v>
      </c>
      <c r="W42" s="8">
        <v>213.85</v>
      </c>
      <c r="X42" s="8">
        <v>257.95</v>
      </c>
      <c r="Y42" s="8">
        <v>17.52</v>
      </c>
      <c r="Z42" s="8"/>
      <c r="AA42" s="8">
        <v>52.89</v>
      </c>
      <c r="AB42" s="8">
        <v>370.12</v>
      </c>
      <c r="AC42" s="8">
        <v>28.26</v>
      </c>
      <c r="AD42" s="8">
        <v>320.10000000000002</v>
      </c>
      <c r="AE42" s="8"/>
      <c r="AF42" s="8">
        <v>44.24</v>
      </c>
      <c r="AG42" s="8">
        <v>14.77</v>
      </c>
      <c r="AH42" s="8">
        <v>196.99</v>
      </c>
      <c r="AI42" s="8">
        <v>160.24</v>
      </c>
      <c r="AJ42" s="8">
        <v>402.79</v>
      </c>
      <c r="AK42" s="8">
        <v>47.76</v>
      </c>
      <c r="AL42" s="8">
        <v>7.07</v>
      </c>
      <c r="AM42" s="8">
        <v>204.89</v>
      </c>
    </row>
    <row r="43" spans="1:39">
      <c r="A43" s="7" t="s">
        <v>71</v>
      </c>
      <c r="B43" s="7" t="s">
        <v>80</v>
      </c>
      <c r="C43" s="8">
        <v>1774.74</v>
      </c>
      <c r="D43" s="8">
        <v>1774.74</v>
      </c>
      <c r="E43" s="8">
        <v>1774.74</v>
      </c>
      <c r="F43" s="8">
        <v>1774.74</v>
      </c>
      <c r="G43" s="8">
        <v>1774.74</v>
      </c>
      <c r="H43" s="8">
        <v>1774.74</v>
      </c>
      <c r="I43" s="8">
        <v>1774.74</v>
      </c>
      <c r="J43" s="8">
        <v>1774.74</v>
      </c>
      <c r="K43" s="8">
        <v>1774.74</v>
      </c>
      <c r="L43" s="8">
        <v>1774.74</v>
      </c>
      <c r="M43" s="8">
        <v>1774.74</v>
      </c>
      <c r="N43" s="8">
        <v>1774.74</v>
      </c>
      <c r="O43" s="8">
        <v>1774.74</v>
      </c>
      <c r="P43" s="8">
        <v>1774.74</v>
      </c>
      <c r="Q43" s="8">
        <v>1774.74</v>
      </c>
      <c r="R43" s="8">
        <v>1774.74</v>
      </c>
      <c r="S43" s="8">
        <v>1774.74</v>
      </c>
      <c r="T43" s="8">
        <v>1774.74</v>
      </c>
      <c r="U43" s="8">
        <v>1774.74</v>
      </c>
      <c r="V43" s="8">
        <v>1774.74</v>
      </c>
      <c r="W43" s="8">
        <v>1774.74</v>
      </c>
      <c r="X43" s="8">
        <v>1774.74</v>
      </c>
      <c r="Y43" s="8">
        <v>1774.74</v>
      </c>
      <c r="Z43" s="8">
        <v>1774.74</v>
      </c>
      <c r="AA43" s="8">
        <v>1774.74</v>
      </c>
      <c r="AB43" s="8">
        <v>1774.74</v>
      </c>
      <c r="AC43" s="8">
        <v>1774.74</v>
      </c>
      <c r="AD43" s="8">
        <v>1774.74</v>
      </c>
      <c r="AE43" s="8">
        <v>1774.74</v>
      </c>
      <c r="AF43" s="8">
        <v>1774.74</v>
      </c>
      <c r="AG43" s="8">
        <v>1774.74</v>
      </c>
      <c r="AH43" s="8">
        <v>1774.74</v>
      </c>
      <c r="AI43" s="8">
        <v>1774.74</v>
      </c>
      <c r="AJ43" s="8">
        <v>1774.74</v>
      </c>
      <c r="AK43" s="8">
        <v>1774.74</v>
      </c>
      <c r="AL43" s="8">
        <v>1774.74</v>
      </c>
      <c r="AM43" s="8">
        <v>1774.74</v>
      </c>
    </row>
    <row r="44" spans="1:39">
      <c r="A44" s="7" t="s">
        <v>71</v>
      </c>
      <c r="B44" s="7" t="s">
        <v>81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>
        <v>256.60000000000002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39">
      <c r="A45" s="7" t="s">
        <v>71</v>
      </c>
      <c r="B45" s="7" t="s">
        <v>82</v>
      </c>
      <c r="C45" s="8">
        <v>1119.98</v>
      </c>
      <c r="D45" s="8">
        <v>1260.5999999999999</v>
      </c>
      <c r="E45" s="8">
        <v>1880.34</v>
      </c>
      <c r="F45" s="8">
        <v>1442.29</v>
      </c>
      <c r="G45" s="8">
        <v>2891.86</v>
      </c>
      <c r="H45" s="8">
        <v>3998.1</v>
      </c>
      <c r="I45" s="8">
        <v>5392.89</v>
      </c>
      <c r="J45" s="8">
        <v>3175.02</v>
      </c>
      <c r="K45" s="8">
        <v>5008.66</v>
      </c>
      <c r="L45" s="8">
        <v>4584.67</v>
      </c>
      <c r="M45" s="8">
        <v>11694.51</v>
      </c>
      <c r="N45" s="8">
        <v>3826.44</v>
      </c>
      <c r="O45" s="8">
        <v>3389.76</v>
      </c>
      <c r="P45" s="8">
        <v>3392.73</v>
      </c>
      <c r="Q45" s="8">
        <v>4422.1099999999997</v>
      </c>
      <c r="R45" s="8">
        <v>3917.37</v>
      </c>
      <c r="S45" s="8">
        <v>4523.62</v>
      </c>
      <c r="T45" s="8">
        <v>4405.26</v>
      </c>
      <c r="U45" s="8">
        <v>4926.42</v>
      </c>
      <c r="V45" s="8">
        <v>3753.76</v>
      </c>
      <c r="W45" s="8">
        <v>5088.8100000000004</v>
      </c>
      <c r="X45" s="8">
        <v>3817.69</v>
      </c>
      <c r="Y45" s="8">
        <v>10858</v>
      </c>
      <c r="Z45" s="8">
        <v>3447.94</v>
      </c>
      <c r="AA45" s="8">
        <v>3814.76</v>
      </c>
      <c r="AB45" s="8">
        <v>3622.95</v>
      </c>
      <c r="AC45" s="8">
        <v>3883.59</v>
      </c>
      <c r="AD45" s="8">
        <v>3735.59</v>
      </c>
      <c r="AE45" s="8">
        <v>3800.96</v>
      </c>
      <c r="AF45" s="8">
        <v>4138.76</v>
      </c>
      <c r="AG45" s="8">
        <v>3541</v>
      </c>
      <c r="AH45" s="8">
        <v>3842</v>
      </c>
      <c r="AI45" s="8">
        <v>3690.31</v>
      </c>
      <c r="AJ45" s="8">
        <v>4156</v>
      </c>
      <c r="AK45" s="8">
        <v>11863.29</v>
      </c>
      <c r="AL45" s="8">
        <v>3489.64</v>
      </c>
      <c r="AM45" s="8">
        <v>3482.34</v>
      </c>
    </row>
    <row r="46" spans="1:39">
      <c r="A46" s="7" t="s">
        <v>71</v>
      </c>
      <c r="B46" s="7" t="s">
        <v>83</v>
      </c>
      <c r="C46" s="8">
        <v>791.24</v>
      </c>
      <c r="D46" s="8">
        <v>791.24</v>
      </c>
      <c r="E46" s="8">
        <v>641.24</v>
      </c>
      <c r="F46" s="8">
        <v>435.86</v>
      </c>
      <c r="G46" s="8">
        <v>218.42</v>
      </c>
      <c r="H46" s="8">
        <v>222.3</v>
      </c>
      <c r="I46" s="8">
        <v>222.3</v>
      </c>
      <c r="J46" s="8">
        <v>220.55</v>
      </c>
      <c r="K46" s="8">
        <v>220.55</v>
      </c>
      <c r="L46" s="8">
        <v>220.55</v>
      </c>
      <c r="M46" s="8">
        <v>220.55</v>
      </c>
      <c r="N46" s="8">
        <v>220.55</v>
      </c>
      <c r="O46" s="8">
        <v>623.65</v>
      </c>
      <c r="P46" s="8">
        <v>220.55</v>
      </c>
      <c r="Q46" s="8">
        <v>220.55</v>
      </c>
      <c r="R46" s="8">
        <v>255.92</v>
      </c>
      <c r="S46" s="8">
        <v>220.55</v>
      </c>
      <c r="T46" s="8">
        <v>224.55</v>
      </c>
      <c r="U46" s="8">
        <v>98.49</v>
      </c>
      <c r="V46" s="8">
        <v>213.26</v>
      </c>
      <c r="W46" s="8">
        <v>213.26</v>
      </c>
      <c r="X46" s="8">
        <v>213.26</v>
      </c>
      <c r="Y46" s="8">
        <v>213.26</v>
      </c>
      <c r="Z46" s="8">
        <v>63.5</v>
      </c>
      <c r="AA46" s="8">
        <v>1435.83</v>
      </c>
      <c r="AB46" s="8">
        <v>1098.6400000000001</v>
      </c>
      <c r="AC46" s="8">
        <v>1958.48</v>
      </c>
      <c r="AD46" s="8">
        <v>1562.48</v>
      </c>
      <c r="AE46" s="8">
        <v>1476.25</v>
      </c>
      <c r="AF46" s="8">
        <v>1480.53</v>
      </c>
      <c r="AG46" s="8">
        <v>1480.53</v>
      </c>
      <c r="AH46" s="8">
        <v>1528.68</v>
      </c>
      <c r="AI46" s="8">
        <v>1480.53</v>
      </c>
      <c r="AJ46" s="8">
        <v>1480.53</v>
      </c>
      <c r="AK46" s="8">
        <v>2520.5100000000002</v>
      </c>
      <c r="AL46" s="8">
        <v>2000.52</v>
      </c>
      <c r="AM46" s="8">
        <v>2020</v>
      </c>
    </row>
    <row r="47" spans="1:39">
      <c r="A47" s="7" t="s">
        <v>71</v>
      </c>
      <c r="B47" s="7" t="s">
        <v>84</v>
      </c>
      <c r="C47" s="8">
        <v>455.36</v>
      </c>
      <c r="D47" s="8">
        <v>1467.51</v>
      </c>
      <c r="E47" s="8">
        <v>285.49</v>
      </c>
      <c r="F47" s="8">
        <v>272.5</v>
      </c>
      <c r="G47" s="8">
        <v>739.26</v>
      </c>
      <c r="H47" s="8">
        <v>311.27999999999997</v>
      </c>
      <c r="I47" s="8">
        <v>307.27999999999997</v>
      </c>
      <c r="J47" s="8">
        <v>2797.28</v>
      </c>
      <c r="K47" s="8">
        <v>307.27999999999997</v>
      </c>
      <c r="L47" s="8">
        <v>307.27999999999997</v>
      </c>
      <c r="M47" s="8">
        <v>307.27999999999997</v>
      </c>
      <c r="N47" s="8">
        <v>307.27999999999997</v>
      </c>
      <c r="O47" s="8">
        <v>2418.2800000000002</v>
      </c>
      <c r="P47" s="8">
        <v>339.82</v>
      </c>
      <c r="Q47" s="8">
        <v>301.38</v>
      </c>
      <c r="R47" s="8">
        <v>301.38</v>
      </c>
      <c r="S47" s="8"/>
      <c r="T47" s="8"/>
      <c r="U47" s="8">
        <v>256.52</v>
      </c>
      <c r="V47" s="8">
        <v>2440.85</v>
      </c>
      <c r="W47" s="8">
        <v>283.85000000000002</v>
      </c>
      <c r="X47" s="8">
        <v>250.85</v>
      </c>
      <c r="Y47" s="8">
        <v>283.85000000000002</v>
      </c>
      <c r="Z47" s="8">
        <v>283.85000000000002</v>
      </c>
      <c r="AA47" s="8">
        <v>283.85000000000002</v>
      </c>
      <c r="AB47" s="8">
        <v>487.14</v>
      </c>
      <c r="AC47" s="8">
        <v>453.72</v>
      </c>
      <c r="AD47" s="8">
        <v>437.85</v>
      </c>
      <c r="AE47" s="8">
        <v>473.83</v>
      </c>
      <c r="AF47" s="8">
        <v>1103.78</v>
      </c>
      <c r="AG47" s="8">
        <v>445.78</v>
      </c>
      <c r="AH47" s="8">
        <v>459.78</v>
      </c>
      <c r="AI47" s="8">
        <v>641.20000000000005</v>
      </c>
      <c r="AJ47" s="8">
        <v>641.20000000000005</v>
      </c>
      <c r="AK47" s="8">
        <v>283.45</v>
      </c>
      <c r="AL47" s="8">
        <v>283.45</v>
      </c>
      <c r="AM47" s="8">
        <v>283.45</v>
      </c>
    </row>
    <row r="48" spans="1:39">
      <c r="A48" s="7" t="s">
        <v>71</v>
      </c>
      <c r="B48" s="7" t="s">
        <v>85</v>
      </c>
      <c r="C48" s="8">
        <v>26</v>
      </c>
      <c r="D48" s="8">
        <v>850</v>
      </c>
      <c r="E48" s="8">
        <v>300</v>
      </c>
      <c r="F48" s="8">
        <v>320.02</v>
      </c>
      <c r="G48" s="8">
        <v>676.69</v>
      </c>
      <c r="H48" s="8"/>
      <c r="I48" s="8"/>
      <c r="J48" s="8"/>
      <c r="K48" s="8"/>
      <c r="L48" s="8">
        <v>26</v>
      </c>
      <c r="M48" s="8"/>
      <c r="N48" s="8"/>
      <c r="O48" s="8"/>
      <c r="P48" s="8">
        <v>850</v>
      </c>
      <c r="Q48" s="8"/>
      <c r="R48" s="8"/>
      <c r="S48" s="8"/>
      <c r="T48" s="8">
        <v>350</v>
      </c>
      <c r="U48" s="8">
        <v>75</v>
      </c>
      <c r="V48" s="8">
        <v>100</v>
      </c>
      <c r="W48" s="8"/>
      <c r="X48" s="8">
        <v>253</v>
      </c>
      <c r="Y48" s="8">
        <v>85</v>
      </c>
      <c r="Z48" s="8"/>
      <c r="AA48" s="8"/>
      <c r="AB48" s="8">
        <v>26</v>
      </c>
      <c r="AC48" s="8"/>
      <c r="AD48" s="8"/>
      <c r="AE48" s="8"/>
      <c r="AF48" s="8">
        <v>21.25</v>
      </c>
      <c r="AG48" s="8">
        <v>421.25</v>
      </c>
      <c r="AH48" s="8">
        <v>21.25</v>
      </c>
      <c r="AI48" s="8">
        <v>121.25</v>
      </c>
      <c r="AJ48" s="8">
        <v>96.75</v>
      </c>
      <c r="AK48" s="8"/>
      <c r="AL48" s="8"/>
      <c r="AM48" s="8"/>
    </row>
    <row r="49" spans="1:39">
      <c r="A49" s="7" t="s">
        <v>71</v>
      </c>
      <c r="B49" s="7" t="s">
        <v>86</v>
      </c>
      <c r="C49" s="8">
        <v>3500</v>
      </c>
      <c r="D49" s="8">
        <v>5077.8500000000004</v>
      </c>
      <c r="E49" s="8">
        <v>5809</v>
      </c>
      <c r="F49" s="8"/>
      <c r="G49" s="8">
        <v>317.5</v>
      </c>
      <c r="H49" s="8">
        <v>6500</v>
      </c>
      <c r="I49" s="8">
        <v>2500</v>
      </c>
      <c r="J49" s="8">
        <v>5062.5</v>
      </c>
      <c r="K49" s="8">
        <v>14500</v>
      </c>
      <c r="L49" s="8">
        <v>7081.83</v>
      </c>
      <c r="M49" s="8">
        <v>3050</v>
      </c>
      <c r="N49" s="8"/>
      <c r="O49" s="8">
        <v>6825</v>
      </c>
      <c r="P49" s="8">
        <v>5150</v>
      </c>
      <c r="Q49" s="8">
        <v>1450</v>
      </c>
      <c r="R49" s="8">
        <v>450</v>
      </c>
      <c r="S49" s="8">
        <v>7150</v>
      </c>
      <c r="T49" s="8">
        <v>2500</v>
      </c>
      <c r="U49" s="8">
        <v>12500</v>
      </c>
      <c r="V49" s="8">
        <v>629</v>
      </c>
      <c r="W49" s="8">
        <v>16400</v>
      </c>
      <c r="X49" s="8">
        <v>1169.29</v>
      </c>
      <c r="Y49" s="8">
        <v>1596</v>
      </c>
      <c r="Z49" s="8">
        <v>1000</v>
      </c>
      <c r="AA49" s="8">
        <v>2901.67</v>
      </c>
      <c r="AB49" s="8">
        <v>3058.33</v>
      </c>
      <c r="AC49" s="8">
        <v>208.33</v>
      </c>
      <c r="AD49" s="8">
        <v>19883.330000000002</v>
      </c>
      <c r="AE49" s="8">
        <v>208.33</v>
      </c>
      <c r="AF49" s="8">
        <v>2708.33</v>
      </c>
      <c r="AG49" s="8">
        <v>5416.66</v>
      </c>
      <c r="AH49" s="8">
        <v>6979.51</v>
      </c>
      <c r="AI49" s="8">
        <v>5837.53</v>
      </c>
      <c r="AJ49" s="8">
        <v>27283.33</v>
      </c>
      <c r="AK49" s="8">
        <v>1770</v>
      </c>
      <c r="AL49" s="8">
        <v>2500</v>
      </c>
      <c r="AM49" s="8">
        <v>1275</v>
      </c>
    </row>
    <row r="50" spans="1:39">
      <c r="A50" s="7" t="s">
        <v>71</v>
      </c>
      <c r="B50" s="7" t="s">
        <v>87</v>
      </c>
      <c r="C50" s="8"/>
      <c r="D50" s="8"/>
      <c r="E50" s="8">
        <v>33</v>
      </c>
      <c r="F50" s="8"/>
      <c r="G50" s="8"/>
      <c r="H50" s="8"/>
      <c r="I50" s="8"/>
      <c r="J50" s="8"/>
      <c r="K50" s="8">
        <v>11.56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>
        <v>500</v>
      </c>
      <c r="X50" s="8">
        <v>44.53</v>
      </c>
      <c r="Y50" s="8">
        <v>2000</v>
      </c>
      <c r="Z50" s="8">
        <v>-2544.5300000000002</v>
      </c>
      <c r="AA50" s="8">
        <v>799.13</v>
      </c>
      <c r="AB50" s="8">
        <v>29.99</v>
      </c>
      <c r="AC50" s="8">
        <v>29.99</v>
      </c>
      <c r="AD50" s="8">
        <v>369.99</v>
      </c>
      <c r="AE50" s="8">
        <v>29.99</v>
      </c>
      <c r="AF50" s="8"/>
      <c r="AG50" s="8"/>
      <c r="AH50" s="8"/>
      <c r="AI50" s="8"/>
      <c r="AJ50" s="8"/>
      <c r="AK50" s="8"/>
      <c r="AL50" s="8"/>
      <c r="AM50" s="8"/>
    </row>
    <row r="51" spans="1:39">
      <c r="A51" s="7" t="s">
        <v>71</v>
      </c>
      <c r="B51" s="7" t="s">
        <v>88</v>
      </c>
      <c r="C51" s="8">
        <v>42.47</v>
      </c>
      <c r="D51" s="8">
        <v>793.35</v>
      </c>
      <c r="E51" s="8">
        <v>303.3</v>
      </c>
      <c r="F51" s="8">
        <v>215.29</v>
      </c>
      <c r="G51" s="8">
        <v>347.91</v>
      </c>
      <c r="H51" s="8">
        <v>349.9</v>
      </c>
      <c r="I51" s="8">
        <v>2117.4699999999998</v>
      </c>
      <c r="J51" s="8">
        <v>582.65</v>
      </c>
      <c r="K51" s="8">
        <v>444.54</v>
      </c>
      <c r="L51" s="8">
        <v>948.92</v>
      </c>
      <c r="M51" s="8">
        <v>1396.89</v>
      </c>
      <c r="N51" s="8">
        <v>3382.09</v>
      </c>
      <c r="O51" s="8">
        <v>1647.53</v>
      </c>
      <c r="P51" s="8">
        <v>855.34</v>
      </c>
      <c r="Q51" s="8">
        <v>1888.97</v>
      </c>
      <c r="R51" s="8">
        <v>1665.76</v>
      </c>
      <c r="S51" s="8">
        <v>408.61</v>
      </c>
      <c r="T51" s="8"/>
      <c r="U51" s="8">
        <v>1030.9000000000001</v>
      </c>
      <c r="V51" s="8">
        <v>5032.09</v>
      </c>
      <c r="W51" s="8">
        <v>811.73</v>
      </c>
      <c r="X51" s="8">
        <v>739.3</v>
      </c>
      <c r="Y51" s="8">
        <v>502.26</v>
      </c>
      <c r="Z51" s="8">
        <v>735.87</v>
      </c>
      <c r="AA51" s="8">
        <v>473.42</v>
      </c>
      <c r="AB51" s="8">
        <v>462.12</v>
      </c>
      <c r="AC51" s="8">
        <v>154.82</v>
      </c>
      <c r="AD51" s="8">
        <v>29.66</v>
      </c>
      <c r="AE51" s="8">
        <v>141.82</v>
      </c>
      <c r="AF51" s="8">
        <v>45.2</v>
      </c>
      <c r="AG51" s="8"/>
      <c r="AH51" s="8">
        <v>38.299999999999997</v>
      </c>
      <c r="AI51" s="8">
        <v>998.12</v>
      </c>
      <c r="AJ51" s="8">
        <v>1278.31</v>
      </c>
      <c r="AK51" s="8">
        <v>275.39</v>
      </c>
      <c r="AL51" s="8">
        <v>5969.38</v>
      </c>
      <c r="AM51" s="8">
        <v>384.76</v>
      </c>
    </row>
    <row r="52" spans="1:39">
      <c r="A52" s="7" t="s">
        <v>71</v>
      </c>
      <c r="B52" s="7" t="s">
        <v>89</v>
      </c>
      <c r="C52" s="8">
        <v>90.95</v>
      </c>
      <c r="D52" s="8">
        <v>30.44</v>
      </c>
      <c r="E52" s="8"/>
      <c r="F52" s="8"/>
      <c r="G52" s="8"/>
      <c r="H52" s="8">
        <v>293.64999999999998</v>
      </c>
      <c r="I52" s="8"/>
      <c r="J52" s="8"/>
      <c r="K52" s="8">
        <v>4.9400000000000004</v>
      </c>
      <c r="L52" s="8"/>
      <c r="M52" s="8"/>
      <c r="N52" s="8">
        <v>11.94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1:39">
      <c r="A53" s="7" t="s">
        <v>71</v>
      </c>
      <c r="B53" s="7" t="s">
        <v>90</v>
      </c>
      <c r="C53" s="8">
        <v>70.13</v>
      </c>
      <c r="D53" s="8"/>
      <c r="E53" s="8">
        <v>143.83000000000001</v>
      </c>
      <c r="F53" s="8"/>
      <c r="G53" s="8"/>
      <c r="H53" s="8"/>
      <c r="I53" s="8"/>
      <c r="J53" s="8">
        <v>38.01</v>
      </c>
      <c r="K53" s="8">
        <v>185.31</v>
      </c>
      <c r="L53" s="8"/>
      <c r="M53" s="8">
        <v>119.28</v>
      </c>
      <c r="N53" s="8"/>
      <c r="O53" s="8">
        <v>165.36</v>
      </c>
      <c r="P53" s="8">
        <v>160.62</v>
      </c>
      <c r="Q53" s="8">
        <v>118.9</v>
      </c>
      <c r="R53" s="8"/>
      <c r="S53" s="8">
        <v>85.56</v>
      </c>
      <c r="T53" s="8">
        <v>52.3</v>
      </c>
      <c r="U53" s="8">
        <v>390.22</v>
      </c>
      <c r="V53" s="8">
        <v>553</v>
      </c>
      <c r="W53" s="8">
        <v>137.18</v>
      </c>
      <c r="X53" s="8">
        <v>333.4</v>
      </c>
      <c r="Y53" s="8">
        <v>98.98</v>
      </c>
      <c r="Z53" s="8">
        <v>1049.33</v>
      </c>
      <c r="AA53" s="8">
        <v>413.39</v>
      </c>
      <c r="AB53" s="8">
        <v>72.38</v>
      </c>
      <c r="AC53" s="8"/>
      <c r="AD53" s="8"/>
      <c r="AE53" s="8">
        <v>114.5</v>
      </c>
      <c r="AF53" s="8"/>
      <c r="AG53" s="8"/>
      <c r="AH53" s="8">
        <v>63.54</v>
      </c>
      <c r="AI53" s="8">
        <v>634.85</v>
      </c>
      <c r="AJ53" s="8">
        <v>199.95</v>
      </c>
      <c r="AK53" s="8">
        <v>46.8</v>
      </c>
      <c r="AL53" s="8">
        <v>38.380000000000003</v>
      </c>
      <c r="AM53" s="8">
        <v>30.51</v>
      </c>
    </row>
    <row r="54" spans="1:39">
      <c r="A54" s="7" t="s">
        <v>71</v>
      </c>
      <c r="B54" s="7" t="s">
        <v>91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>
        <v>7011.58</v>
      </c>
      <c r="AD54" s="8">
        <v>2834.87</v>
      </c>
      <c r="AE54" s="8">
        <v>2952.66</v>
      </c>
      <c r="AF54" s="8">
        <v>4289.24</v>
      </c>
      <c r="AG54" s="8">
        <v>4746.54</v>
      </c>
      <c r="AH54" s="8">
        <v>4344.99</v>
      </c>
      <c r="AI54" s="8">
        <v>4134.24</v>
      </c>
      <c r="AJ54" s="8">
        <v>4495.53</v>
      </c>
      <c r="AK54" s="8">
        <v>3693.42</v>
      </c>
      <c r="AL54" s="8">
        <v>3758.65</v>
      </c>
      <c r="AM54" s="8">
        <v>3466.54</v>
      </c>
    </row>
    <row r="55" spans="1:39">
      <c r="A55" s="7" t="s">
        <v>71</v>
      </c>
      <c r="B55" s="7" t="s">
        <v>92</v>
      </c>
      <c r="C55" s="8"/>
      <c r="D55" s="8"/>
      <c r="E55" s="8">
        <v>292.76</v>
      </c>
      <c r="F55" s="8">
        <v>275.93</v>
      </c>
      <c r="G55" s="8">
        <v>79.63</v>
      </c>
      <c r="H55" s="8">
        <v>97.66</v>
      </c>
      <c r="I55" s="8"/>
      <c r="J55" s="8"/>
      <c r="K55" s="8"/>
      <c r="L55" s="8">
        <v>80.38</v>
      </c>
      <c r="M55" s="8"/>
      <c r="N55" s="8">
        <v>29</v>
      </c>
      <c r="O55" s="8"/>
      <c r="P55" s="8">
        <v>49.45</v>
      </c>
      <c r="Q55" s="8">
        <v>82.24</v>
      </c>
      <c r="R55" s="8"/>
      <c r="S55" s="8">
        <v>45.1</v>
      </c>
      <c r="T55" s="8">
        <v>226.51</v>
      </c>
      <c r="U55" s="8">
        <v>209.76</v>
      </c>
      <c r="V55" s="8"/>
      <c r="W55" s="8">
        <v>508.31</v>
      </c>
      <c r="X55" s="8"/>
      <c r="Y55" s="8">
        <v>197.7</v>
      </c>
      <c r="Z55" s="8">
        <v>91.38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spans="1:39">
      <c r="A56" s="7" t="s">
        <v>71</v>
      </c>
      <c r="B56" s="7" t="s">
        <v>93</v>
      </c>
      <c r="C56" s="8"/>
      <c r="D56" s="8"/>
      <c r="E56" s="8">
        <v>59.98</v>
      </c>
      <c r="F56" s="8">
        <v>154</v>
      </c>
      <c r="G56" s="8"/>
      <c r="H56" s="8"/>
      <c r="I56" s="8"/>
      <c r="J56" s="8"/>
      <c r="K56" s="8"/>
      <c r="L56" s="8"/>
      <c r="M56" s="8">
        <v>362.72</v>
      </c>
      <c r="N56" s="8"/>
      <c r="O56" s="8"/>
      <c r="P56" s="8"/>
      <c r="Q56" s="8">
        <v>546.35</v>
      </c>
      <c r="R56" s="8"/>
      <c r="S56" s="8"/>
      <c r="T56" s="8"/>
      <c r="U56" s="8">
        <v>478.25</v>
      </c>
      <c r="V56" s="8">
        <v>52</v>
      </c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1:39">
      <c r="A57" s="7" t="s">
        <v>71</v>
      </c>
      <c r="B57" s="7" t="s">
        <v>94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>
        <v>150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>
        <v>3917</v>
      </c>
      <c r="AH57" s="8">
        <v>4600</v>
      </c>
      <c r="AI57" s="8"/>
      <c r="AJ57" s="8"/>
      <c r="AK57" s="8"/>
      <c r="AL57" s="8"/>
      <c r="AM57" s="8"/>
    </row>
    <row r="58" spans="1:39">
      <c r="A58" s="7" t="s">
        <v>71</v>
      </c>
      <c r="B58" s="7" t="s">
        <v>95</v>
      </c>
      <c r="C58" s="8">
        <v>12.65</v>
      </c>
      <c r="D58" s="8">
        <v>129.16999999999999</v>
      </c>
      <c r="E58" s="8">
        <v>71.319999999999993</v>
      </c>
      <c r="F58" s="8">
        <v>42.3</v>
      </c>
      <c r="G58" s="8">
        <v>23.01</v>
      </c>
      <c r="H58" s="8">
        <v>180.01</v>
      </c>
      <c r="I58" s="8">
        <v>120.13</v>
      </c>
      <c r="J58" s="8">
        <v>3.62</v>
      </c>
      <c r="K58" s="8">
        <v>7.5</v>
      </c>
      <c r="L58" s="8">
        <v>71.55</v>
      </c>
      <c r="M58" s="8">
        <v>7.5</v>
      </c>
      <c r="N58" s="8">
        <v>179.03</v>
      </c>
      <c r="O58" s="8">
        <v>7.5</v>
      </c>
      <c r="P58" s="8"/>
      <c r="Q58" s="8">
        <v>58.25</v>
      </c>
      <c r="R58" s="8"/>
      <c r="S58" s="8">
        <v>159.75</v>
      </c>
      <c r="T58" s="8"/>
      <c r="U58" s="8">
        <v>956.15</v>
      </c>
      <c r="V58" s="8">
        <v>145.5</v>
      </c>
      <c r="W58" s="8">
        <v>144.5</v>
      </c>
      <c r="X58" s="8">
        <v>1204.17</v>
      </c>
      <c r="Y58" s="8">
        <v>247.12</v>
      </c>
      <c r="Z58" s="8">
        <v>173.31</v>
      </c>
      <c r="AA58" s="8">
        <v>173.31</v>
      </c>
      <c r="AB58" s="8">
        <v>291.04000000000002</v>
      </c>
      <c r="AC58" s="8">
        <v>186.39</v>
      </c>
      <c r="AD58" s="8">
        <v>281.33999999999997</v>
      </c>
      <c r="AE58" s="8">
        <v>271.43</v>
      </c>
      <c r="AF58" s="8">
        <v>584.05999999999995</v>
      </c>
      <c r="AG58" s="8">
        <v>406.56</v>
      </c>
      <c r="AH58" s="8">
        <v>826.22</v>
      </c>
      <c r="AI58" s="8">
        <v>1262.55</v>
      </c>
      <c r="AJ58" s="8">
        <v>240.89</v>
      </c>
      <c r="AK58" s="8">
        <v>188.57</v>
      </c>
      <c r="AL58" s="8">
        <v>208.08</v>
      </c>
      <c r="AM58" s="8">
        <v>344.61</v>
      </c>
    </row>
    <row r="59" spans="1:39">
      <c r="A59" s="7" t="s">
        <v>71</v>
      </c>
      <c r="B59" s="7" t="s">
        <v>96</v>
      </c>
      <c r="C59" s="8">
        <v>15.75</v>
      </c>
      <c r="D59" s="8"/>
      <c r="E59" s="8"/>
      <c r="F59" s="8">
        <v>29.85</v>
      </c>
      <c r="G59" s="8">
        <v>13.74</v>
      </c>
      <c r="H59" s="8">
        <v>138</v>
      </c>
      <c r="I59" s="8">
        <v>11</v>
      </c>
      <c r="J59" s="8">
        <v>14</v>
      </c>
      <c r="K59" s="8"/>
      <c r="L59" s="8">
        <v>105.63</v>
      </c>
      <c r="M59" s="8">
        <v>54.23</v>
      </c>
      <c r="N59" s="8"/>
      <c r="O59" s="8"/>
      <c r="P59" s="8">
        <v>100.85</v>
      </c>
      <c r="Q59" s="8"/>
      <c r="R59" s="8">
        <v>19.920000000000002</v>
      </c>
      <c r="S59" s="8"/>
      <c r="T59" s="8"/>
      <c r="U59" s="8">
        <v>146</v>
      </c>
      <c r="V59" s="8"/>
      <c r="W59" s="8"/>
      <c r="X59" s="8"/>
      <c r="Y59" s="8"/>
      <c r="Z59" s="8">
        <v>188.55</v>
      </c>
      <c r="AA59" s="8">
        <v>110.81</v>
      </c>
      <c r="AB59" s="8">
        <v>62.01</v>
      </c>
      <c r="AC59" s="8"/>
      <c r="AD59" s="8"/>
      <c r="AE59" s="8">
        <v>81.040000000000006</v>
      </c>
      <c r="AF59" s="8">
        <v>150</v>
      </c>
      <c r="AG59" s="8">
        <v>15.42</v>
      </c>
      <c r="AH59" s="8"/>
      <c r="AI59" s="8">
        <v>280.33999999999997</v>
      </c>
      <c r="AJ59" s="8">
        <v>13.46</v>
      </c>
      <c r="AK59" s="8"/>
      <c r="AL59" s="8">
        <v>729.83</v>
      </c>
      <c r="AM59" s="8"/>
    </row>
    <row r="60" spans="1:39">
      <c r="A60" s="7" t="s">
        <v>71</v>
      </c>
      <c r="B60" s="7" t="s">
        <v>97</v>
      </c>
      <c r="C60" s="8"/>
      <c r="D60" s="8">
        <v>6106.85</v>
      </c>
      <c r="E60" s="8">
        <v>7715.59</v>
      </c>
      <c r="F60" s="8">
        <v>2974.9</v>
      </c>
      <c r="G60" s="8">
        <v>2511.1999999999998</v>
      </c>
      <c r="H60" s="8">
        <v>2351.8000000000002</v>
      </c>
      <c r="I60" s="8">
        <v>4938.8</v>
      </c>
      <c r="J60" s="8">
        <v>5451.5</v>
      </c>
      <c r="K60" s="8">
        <v>1868.35</v>
      </c>
      <c r="L60" s="8">
        <v>375</v>
      </c>
      <c r="M60" s="8">
        <v>3435.8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spans="1:39">
      <c r="A61" s="7" t="s">
        <v>71</v>
      </c>
      <c r="B61" s="7" t="s">
        <v>98</v>
      </c>
      <c r="C61" s="8">
        <v>175</v>
      </c>
      <c r="D61" s="8">
        <v>175</v>
      </c>
      <c r="E61" s="8">
        <v>175</v>
      </c>
      <c r="F61" s="8">
        <v>175</v>
      </c>
      <c r="G61" s="8">
        <v>175</v>
      </c>
      <c r="H61" s="8">
        <v>175</v>
      </c>
      <c r="I61" s="8">
        <v>175</v>
      </c>
      <c r="J61" s="8">
        <v>175</v>
      </c>
      <c r="K61" s="8">
        <v>475</v>
      </c>
      <c r="L61" s="8">
        <v>175</v>
      </c>
      <c r="M61" s="8">
        <v>175</v>
      </c>
      <c r="N61" s="8">
        <v>175</v>
      </c>
      <c r="O61" s="8">
        <v>175</v>
      </c>
      <c r="P61" s="8">
        <v>175</v>
      </c>
      <c r="Q61" s="8">
        <v>175</v>
      </c>
      <c r="R61" s="8">
        <v>175</v>
      </c>
      <c r="S61" s="8">
        <v>175</v>
      </c>
      <c r="T61" s="8"/>
      <c r="U61" s="8">
        <v>175</v>
      </c>
      <c r="V61" s="8">
        <v>175</v>
      </c>
      <c r="W61" s="8">
        <v>175</v>
      </c>
      <c r="X61" s="8">
        <v>175</v>
      </c>
      <c r="Y61" s="8">
        <v>301.99</v>
      </c>
      <c r="Z61" s="8">
        <v>251</v>
      </c>
      <c r="AA61" s="8">
        <v>251</v>
      </c>
      <c r="AB61" s="8">
        <v>283</v>
      </c>
      <c r="AC61" s="8">
        <v>283</v>
      </c>
      <c r="AD61" s="8">
        <v>283</v>
      </c>
      <c r="AE61" s="8">
        <v>283</v>
      </c>
      <c r="AF61" s="8">
        <v>283</v>
      </c>
      <c r="AG61" s="8">
        <v>283</v>
      </c>
      <c r="AH61" s="8">
        <v>283</v>
      </c>
      <c r="AI61" s="8">
        <v>283</v>
      </c>
      <c r="AJ61" s="8">
        <v>283</v>
      </c>
      <c r="AK61" s="8">
        <v>301</v>
      </c>
      <c r="AL61" s="8">
        <v>311</v>
      </c>
      <c r="AM61" s="8">
        <v>301</v>
      </c>
    </row>
    <row r="62" spans="1:39">
      <c r="A62" s="7" t="s">
        <v>71</v>
      </c>
      <c r="B62" s="7" t="s">
        <v>99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>
        <v>1250</v>
      </c>
      <c r="AB62" s="8">
        <v>2644.38</v>
      </c>
      <c r="AC62" s="8"/>
      <c r="AD62" s="8">
        <v>510.44</v>
      </c>
      <c r="AE62" s="8">
        <v>508.94</v>
      </c>
      <c r="AF62" s="8"/>
      <c r="AG62" s="8"/>
      <c r="AH62" s="8">
        <v>4929.42</v>
      </c>
      <c r="AI62" s="8"/>
      <c r="AJ62" s="8"/>
      <c r="AK62" s="8">
        <v>4653.6499999999996</v>
      </c>
      <c r="AL62" s="8">
        <v>-4653.6499999999996</v>
      </c>
      <c r="AM62" s="8"/>
    </row>
    <row r="63" spans="1:39">
      <c r="A63" s="7" t="s">
        <v>71</v>
      </c>
      <c r="B63" s="7" t="s">
        <v>100</v>
      </c>
      <c r="C63" s="8">
        <v>178.6</v>
      </c>
      <c r="D63" s="8">
        <v>501.69</v>
      </c>
      <c r="E63" s="8">
        <v>1.61</v>
      </c>
      <c r="F63" s="8">
        <v>67</v>
      </c>
      <c r="G63" s="8"/>
      <c r="H63" s="8"/>
      <c r="I63" s="8"/>
      <c r="J63" s="8">
        <v>644.92999999999995</v>
      </c>
      <c r="K63" s="8">
        <v>1181.5</v>
      </c>
      <c r="L63" s="8">
        <v>213.85</v>
      </c>
      <c r="M63" s="8">
        <v>70</v>
      </c>
      <c r="N63" s="8">
        <v>698.23</v>
      </c>
      <c r="O63" s="8"/>
      <c r="P63" s="8">
        <v>451.02</v>
      </c>
      <c r="Q63" s="8">
        <v>199.7</v>
      </c>
      <c r="R63" s="8"/>
      <c r="S63" s="8"/>
      <c r="T63" s="8">
        <v>90.68</v>
      </c>
      <c r="U63" s="8">
        <v>197.4</v>
      </c>
      <c r="V63" s="8">
        <v>192.5</v>
      </c>
      <c r="W63" s="8">
        <v>223.75</v>
      </c>
      <c r="X63" s="8"/>
      <c r="Y63" s="8"/>
      <c r="Z63" s="8">
        <v>276.86</v>
      </c>
      <c r="AA63" s="8"/>
      <c r="AB63" s="8"/>
      <c r="AC63" s="8">
        <v>103.1</v>
      </c>
      <c r="AD63" s="8">
        <v>329.47</v>
      </c>
      <c r="AE63" s="8"/>
      <c r="AF63" s="8">
        <v>66</v>
      </c>
      <c r="AG63" s="8">
        <v>260.47000000000003</v>
      </c>
      <c r="AH63" s="8"/>
      <c r="AI63" s="8">
        <v>838.51</v>
      </c>
      <c r="AJ63" s="8">
        <v>192.83</v>
      </c>
      <c r="AK63" s="8"/>
      <c r="AL63" s="8"/>
      <c r="AM63" s="8">
        <v>2222.34</v>
      </c>
    </row>
    <row r="64" spans="1:39">
      <c r="A64" s="7" t="s">
        <v>71</v>
      </c>
      <c r="B64" s="7" t="s">
        <v>101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>
        <v>260.92</v>
      </c>
      <c r="AD64" s="8"/>
      <c r="AE64" s="8"/>
      <c r="AF64" s="8"/>
      <c r="AG64" s="8"/>
      <c r="AH64" s="8"/>
      <c r="AI64" s="8"/>
      <c r="AJ64" s="8">
        <v>1036.1300000000001</v>
      </c>
      <c r="AK64" s="8"/>
      <c r="AL64" s="8"/>
      <c r="AM64" s="8"/>
    </row>
    <row r="65" spans="1:39">
      <c r="A65" s="7" t="s">
        <v>71</v>
      </c>
      <c r="B65" s="7" t="s">
        <v>102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>
        <v>1350.42</v>
      </c>
      <c r="AB65" s="8">
        <v>2830.58</v>
      </c>
      <c r="AC65" s="8">
        <v>-4181</v>
      </c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spans="1:39">
      <c r="A66" s="7" t="s">
        <v>71</v>
      </c>
      <c r="B66" s="7" t="s">
        <v>103</v>
      </c>
      <c r="C66" s="8">
        <v>1850</v>
      </c>
      <c r="D66" s="8">
        <v>1500</v>
      </c>
      <c r="E66" s="8">
        <v>1500</v>
      </c>
      <c r="F66" s="8">
        <v>1500</v>
      </c>
      <c r="G66" s="8">
        <v>1500</v>
      </c>
      <c r="H66" s="8">
        <v>1500</v>
      </c>
      <c r="I66" s="8">
        <v>1500</v>
      </c>
      <c r="J66" s="8">
        <v>1500</v>
      </c>
      <c r="K66" s="8">
        <v>1500</v>
      </c>
      <c r="L66" s="8">
        <v>1500</v>
      </c>
      <c r="M66" s="8">
        <v>1500</v>
      </c>
      <c r="N66" s="8">
        <v>1500</v>
      </c>
      <c r="O66" s="8">
        <v>6300</v>
      </c>
      <c r="P66" s="8">
        <v>8000</v>
      </c>
      <c r="Q66" s="8">
        <v>8000</v>
      </c>
      <c r="R66" s="8">
        <v>8000</v>
      </c>
      <c r="S66" s="8">
        <v>8000</v>
      </c>
      <c r="T66" s="8">
        <v>8000</v>
      </c>
      <c r="U66" s="8">
        <v>8000</v>
      </c>
      <c r="V66" s="8">
        <v>8000</v>
      </c>
      <c r="W66" s="8">
        <v>1500</v>
      </c>
      <c r="X66" s="8">
        <v>8000</v>
      </c>
      <c r="Y66" s="8">
        <v>8000</v>
      </c>
      <c r="Z66" s="8">
        <v>8000</v>
      </c>
      <c r="AA66" s="8">
        <v>2500</v>
      </c>
      <c r="AB66" s="8">
        <v>6500</v>
      </c>
      <c r="AC66" s="8">
        <v>4500</v>
      </c>
      <c r="AD66" s="8">
        <v>9500</v>
      </c>
      <c r="AE66" s="8">
        <v>5500</v>
      </c>
      <c r="AF66" s="8">
        <v>9540</v>
      </c>
      <c r="AG66" s="8">
        <v>7500</v>
      </c>
      <c r="AH66" s="8">
        <v>2000</v>
      </c>
      <c r="AI66" s="8">
        <v>2000</v>
      </c>
      <c r="AJ66" s="8">
        <v>2000</v>
      </c>
      <c r="AK66" s="8">
        <v>6467.74</v>
      </c>
      <c r="AL66" s="8">
        <v>2000</v>
      </c>
      <c r="AM66" s="8"/>
    </row>
    <row r="67" spans="1:39">
      <c r="A67" s="7" t="s">
        <v>71</v>
      </c>
      <c r="B67" s="7" t="s">
        <v>104</v>
      </c>
      <c r="C67" s="8"/>
      <c r="D67" s="8"/>
      <c r="E67" s="8">
        <v>2861.4</v>
      </c>
      <c r="F67" s="8">
        <v>37.5</v>
      </c>
      <c r="G67" s="8"/>
      <c r="H67" s="8">
        <v>400</v>
      </c>
      <c r="I67" s="8">
        <v>400</v>
      </c>
      <c r="J67" s="8">
        <v>1200</v>
      </c>
      <c r="K67" s="8"/>
      <c r="L67" s="8">
        <v>94.2</v>
      </c>
      <c r="M67" s="8"/>
      <c r="N67" s="8">
        <v>187.5</v>
      </c>
      <c r="O67" s="8"/>
      <c r="P67" s="8"/>
      <c r="Q67" s="8"/>
      <c r="R67" s="8"/>
      <c r="S67" s="8"/>
      <c r="T67" s="8">
        <v>262.5</v>
      </c>
      <c r="U67" s="8"/>
      <c r="V67" s="8">
        <v>200</v>
      </c>
      <c r="W67" s="8"/>
      <c r="X67" s="8">
        <v>2320</v>
      </c>
      <c r="Y67" s="8">
        <v>4870</v>
      </c>
      <c r="Z67" s="8">
        <v>2955</v>
      </c>
      <c r="AA67" s="8">
        <v>3196.38</v>
      </c>
      <c r="AB67" s="8"/>
      <c r="AC67" s="8"/>
      <c r="AD67" s="8"/>
      <c r="AE67" s="8"/>
      <c r="AF67" s="8">
        <v>230</v>
      </c>
      <c r="AG67" s="8"/>
      <c r="AH67" s="8"/>
      <c r="AI67" s="8">
        <v>1700</v>
      </c>
      <c r="AJ67" s="8"/>
      <c r="AK67" s="8"/>
      <c r="AL67" s="8"/>
      <c r="AM67" s="8"/>
    </row>
    <row r="68" spans="1:39">
      <c r="A68" s="7" t="s">
        <v>71</v>
      </c>
      <c r="B68" s="7" t="s">
        <v>105</v>
      </c>
      <c r="C68" s="8">
        <v>317.20999999999998</v>
      </c>
      <c r="D68" s="8"/>
      <c r="E68" s="8">
        <v>735.46</v>
      </c>
      <c r="F68" s="8"/>
      <c r="G68" s="8"/>
      <c r="H68" s="8"/>
      <c r="I68" s="8"/>
      <c r="J68" s="8"/>
      <c r="K68" s="8"/>
      <c r="L68" s="8">
        <v>697</v>
      </c>
      <c r="M68" s="8">
        <v>5365.09</v>
      </c>
      <c r="N68" s="8">
        <v>566.72</v>
      </c>
      <c r="O68" s="8"/>
      <c r="P68" s="8">
        <v>219.56</v>
      </c>
      <c r="Q68" s="8">
        <v>2255.65</v>
      </c>
      <c r="R68" s="8">
        <v>266.3</v>
      </c>
      <c r="S68" s="8">
        <v>178.76</v>
      </c>
      <c r="T68" s="8"/>
      <c r="U68" s="8">
        <v>475.2</v>
      </c>
      <c r="V68" s="8"/>
      <c r="W68" s="8">
        <v>934.39</v>
      </c>
      <c r="X68" s="8">
        <v>428.4</v>
      </c>
      <c r="Y68" s="8">
        <v>195.08</v>
      </c>
      <c r="Z68" s="8">
        <v>2219.9299999999998</v>
      </c>
      <c r="AA68" s="8">
        <v>634.20000000000005</v>
      </c>
      <c r="AB68" s="8">
        <v>1431.72</v>
      </c>
      <c r="AC68" s="8"/>
      <c r="AD68" s="8"/>
      <c r="AE68" s="8">
        <v>931.83</v>
      </c>
      <c r="AF68" s="8">
        <v>350</v>
      </c>
      <c r="AG68" s="8"/>
      <c r="AH68" s="8">
        <v>2281.94</v>
      </c>
      <c r="AI68" s="8">
        <v>97.56</v>
      </c>
      <c r="AJ68" s="8"/>
      <c r="AK68" s="8">
        <v>4281.26</v>
      </c>
      <c r="AL68" s="8">
        <v>59.64</v>
      </c>
      <c r="AM68" s="8">
        <v>2369.29</v>
      </c>
    </row>
    <row r="69" spans="1:39">
      <c r="A69" s="7" t="s">
        <v>71</v>
      </c>
      <c r="B69" s="7" t="s">
        <v>106</v>
      </c>
      <c r="C69" s="8"/>
      <c r="D69" s="8"/>
      <c r="E69" s="8">
        <v>234.2</v>
      </c>
      <c r="F69" s="8">
        <v>170</v>
      </c>
      <c r="G69" s="8"/>
      <c r="H69" s="8"/>
      <c r="I69" s="8"/>
      <c r="J69" s="8"/>
      <c r="K69" s="8">
        <v>2136.34</v>
      </c>
      <c r="L69" s="8">
        <v>2695.72</v>
      </c>
      <c r="M69" s="8">
        <v>1916.13</v>
      </c>
      <c r="N69" s="8">
        <v>1544.37</v>
      </c>
      <c r="O69" s="8">
        <v>796</v>
      </c>
      <c r="P69" s="8">
        <v>701.52</v>
      </c>
      <c r="Q69" s="8">
        <v>223.27</v>
      </c>
      <c r="R69" s="8">
        <v>975.78</v>
      </c>
      <c r="S69" s="8">
        <v>1208.67</v>
      </c>
      <c r="T69" s="8">
        <v>868.87</v>
      </c>
      <c r="U69" s="8">
        <v>1819.3</v>
      </c>
      <c r="V69" s="8">
        <v>617.16999999999996</v>
      </c>
      <c r="W69" s="8">
        <v>6100.96</v>
      </c>
      <c r="X69" s="8">
        <v>2947.52</v>
      </c>
      <c r="Y69" s="8">
        <v>2995.99</v>
      </c>
      <c r="Z69" s="8">
        <v>1038.8900000000001</v>
      </c>
      <c r="AA69" s="8">
        <v>1627.18</v>
      </c>
      <c r="AB69" s="8">
        <v>1726.52</v>
      </c>
      <c r="AC69" s="8">
        <v>863.08</v>
      </c>
      <c r="AD69" s="8">
        <v>609.67999999999995</v>
      </c>
      <c r="AE69" s="8">
        <v>981.84</v>
      </c>
      <c r="AF69" s="8">
        <v>840.68</v>
      </c>
      <c r="AG69" s="8">
        <v>589.67999999999995</v>
      </c>
      <c r="AH69" s="8">
        <v>986.99</v>
      </c>
      <c r="AI69" s="8">
        <v>563.25</v>
      </c>
      <c r="AJ69" s="8">
        <v>971.43</v>
      </c>
      <c r="AK69" s="8">
        <v>2284.94</v>
      </c>
      <c r="AL69" s="8">
        <v>1013.26</v>
      </c>
      <c r="AM69" s="8">
        <v>2029.07</v>
      </c>
    </row>
    <row r="70" spans="1:39">
      <c r="A70" s="7" t="s">
        <v>71</v>
      </c>
      <c r="B70" s="7" t="s">
        <v>107</v>
      </c>
      <c r="C70" s="8">
        <v>8695.11</v>
      </c>
      <c r="D70" s="8">
        <v>8376.85</v>
      </c>
      <c r="E70" s="8">
        <v>16200</v>
      </c>
      <c r="F70" s="8">
        <v>8185.24</v>
      </c>
      <c r="G70" s="8">
        <v>9110.7000000000007</v>
      </c>
      <c r="H70" s="8">
        <v>6335.99</v>
      </c>
      <c r="I70" s="8">
        <v>12201.76</v>
      </c>
      <c r="J70" s="8">
        <v>18079.43</v>
      </c>
      <c r="K70" s="8">
        <v>9328.7000000000007</v>
      </c>
      <c r="L70" s="8">
        <v>11466.27</v>
      </c>
      <c r="M70" s="8">
        <v>9640.39</v>
      </c>
      <c r="N70" s="8">
        <v>10218.08</v>
      </c>
      <c r="O70" s="8">
        <v>714.42</v>
      </c>
      <c r="P70" s="8">
        <v>291.67</v>
      </c>
      <c r="Q70" s="8">
        <v>2230.62</v>
      </c>
      <c r="R70" s="8">
        <v>1576.31</v>
      </c>
      <c r="S70" s="8">
        <v>1305.8</v>
      </c>
      <c r="T70" s="8">
        <v>7853.23</v>
      </c>
      <c r="U70" s="8">
        <v>1624.64</v>
      </c>
      <c r="V70" s="8">
        <v>1368.01</v>
      </c>
      <c r="W70" s="8">
        <v>7593.33</v>
      </c>
      <c r="X70" s="8">
        <v>1128.99</v>
      </c>
      <c r="Y70" s="8">
        <v>205.94</v>
      </c>
      <c r="Z70" s="8">
        <v>3732.77</v>
      </c>
      <c r="AA70" s="8">
        <v>500</v>
      </c>
      <c r="AB70" s="8">
        <v>1369.76</v>
      </c>
      <c r="AC70" s="8">
        <v>1798.46</v>
      </c>
      <c r="AD70" s="8">
        <v>2283.13</v>
      </c>
      <c r="AE70" s="8">
        <v>2744.14</v>
      </c>
      <c r="AF70" s="8">
        <v>1736</v>
      </c>
      <c r="AG70" s="8">
        <v>1385.22</v>
      </c>
      <c r="AH70" s="8">
        <v>1888.51</v>
      </c>
      <c r="AI70" s="8">
        <v>1853.98</v>
      </c>
      <c r="AJ70" s="8">
        <v>1414.55</v>
      </c>
      <c r="AK70" s="8">
        <v>2453.61</v>
      </c>
      <c r="AL70" s="8">
        <v>853.99</v>
      </c>
      <c r="AM70" s="8">
        <v>3790.9</v>
      </c>
    </row>
    <row r="71" spans="1:39">
      <c r="A71" s="7" t="s">
        <v>71</v>
      </c>
      <c r="B71" s="7" t="s">
        <v>108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>
        <v>11319.39</v>
      </c>
      <c r="AM71" s="8"/>
    </row>
    <row r="72" spans="1:39">
      <c r="A72" s="7" t="s">
        <v>71</v>
      </c>
      <c r="B72" s="7" t="s">
        <v>70</v>
      </c>
      <c r="C72" s="8">
        <v>280.87</v>
      </c>
      <c r="D72" s="8">
        <v>1461.22</v>
      </c>
      <c r="E72" s="8">
        <v>3682.68</v>
      </c>
      <c r="F72" s="8">
        <v>432.58</v>
      </c>
      <c r="G72" s="8">
        <v>1010.35</v>
      </c>
      <c r="H72" s="8">
        <v>551.63</v>
      </c>
      <c r="I72" s="8">
        <v>728.2</v>
      </c>
      <c r="J72" s="8">
        <v>1820.54</v>
      </c>
      <c r="K72" s="8">
        <v>566.62</v>
      </c>
      <c r="L72" s="8">
        <v>1171.83</v>
      </c>
      <c r="M72" s="8">
        <v>2294.83</v>
      </c>
      <c r="N72" s="8">
        <v>1631.97</v>
      </c>
      <c r="O72" s="8">
        <v>1077.74</v>
      </c>
      <c r="P72" s="8">
        <v>1886.18</v>
      </c>
      <c r="Q72" s="8">
        <v>1725.58</v>
      </c>
      <c r="R72" s="8">
        <v>1958.96</v>
      </c>
      <c r="S72" s="8">
        <v>896.86</v>
      </c>
      <c r="T72" s="8">
        <v>422.13</v>
      </c>
      <c r="U72" s="8">
        <v>1515.77</v>
      </c>
      <c r="V72" s="8">
        <v>1216.21</v>
      </c>
      <c r="W72" s="8">
        <v>1057.79</v>
      </c>
      <c r="X72" s="8">
        <v>35831.199999999997</v>
      </c>
      <c r="Y72" s="8">
        <v>2191.7600000000002</v>
      </c>
      <c r="Z72" s="8">
        <v>738.63</v>
      </c>
      <c r="AA72" s="8">
        <v>1603.2</v>
      </c>
      <c r="AB72" s="8">
        <v>4374.8100000000004</v>
      </c>
      <c r="AC72" s="8">
        <v>2555.19</v>
      </c>
      <c r="AD72" s="8">
        <v>932.01</v>
      </c>
      <c r="AE72" s="8">
        <v>1649.82</v>
      </c>
      <c r="AF72" s="8">
        <v>679.65</v>
      </c>
      <c r="AG72" s="8">
        <v>1180.47</v>
      </c>
      <c r="AH72" s="8">
        <v>473.18</v>
      </c>
      <c r="AI72" s="8">
        <v>509.8</v>
      </c>
      <c r="AJ72" s="8">
        <v>1440.42</v>
      </c>
      <c r="AK72" s="8">
        <v>1040.74</v>
      </c>
      <c r="AL72" s="8">
        <v>1023.62</v>
      </c>
      <c r="AM72" s="8">
        <v>7719.27</v>
      </c>
    </row>
    <row r="73" spans="1:39">
      <c r="A73" s="7" t="s">
        <v>71</v>
      </c>
      <c r="B73" s="7" t="s">
        <v>109</v>
      </c>
      <c r="C73" s="8">
        <v>8545.32</v>
      </c>
      <c r="D73" s="8">
        <v>7761.86</v>
      </c>
      <c r="E73" s="8">
        <v>6710.21</v>
      </c>
      <c r="F73" s="8">
        <v>4870.58</v>
      </c>
      <c r="G73" s="8">
        <v>3339.01</v>
      </c>
      <c r="H73" s="8">
        <v>3309.89</v>
      </c>
      <c r="I73" s="8">
        <v>-46810.04</v>
      </c>
      <c r="J73" s="8">
        <v>3474.98</v>
      </c>
      <c r="K73" s="8">
        <v>4709.8500000000004</v>
      </c>
      <c r="L73" s="8">
        <v>4589.5200000000004</v>
      </c>
      <c r="M73" s="8">
        <v>5106.88</v>
      </c>
      <c r="N73" s="8">
        <v>5204.13</v>
      </c>
      <c r="O73" s="8">
        <v>6510.45</v>
      </c>
      <c r="P73" s="8">
        <v>6166.6</v>
      </c>
      <c r="Q73" s="8">
        <v>5741.66</v>
      </c>
      <c r="R73" s="8">
        <v>5595.85</v>
      </c>
      <c r="S73" s="8">
        <v>5468.6</v>
      </c>
      <c r="T73" s="8">
        <v>5342.9</v>
      </c>
      <c r="U73" s="8">
        <v>5163.43</v>
      </c>
      <c r="V73" s="8">
        <v>5101.74</v>
      </c>
      <c r="W73" s="8">
        <v>4468.59</v>
      </c>
      <c r="X73" s="8">
        <v>2300.2600000000002</v>
      </c>
      <c r="Y73" s="8">
        <v>5275.15</v>
      </c>
      <c r="Z73" s="8">
        <v>4571.1899999999996</v>
      </c>
      <c r="AA73" s="8">
        <v>2716.16</v>
      </c>
      <c r="AB73" s="8">
        <v>1764.44</v>
      </c>
      <c r="AC73" s="8">
        <v>1425.23</v>
      </c>
      <c r="AD73" s="8">
        <v>7014.42</v>
      </c>
      <c r="AE73" s="8">
        <v>5291.25</v>
      </c>
      <c r="AF73" s="8">
        <v>4937.34</v>
      </c>
      <c r="AG73" s="8">
        <v>1518.89</v>
      </c>
      <c r="AH73" s="8">
        <v>3725.15</v>
      </c>
      <c r="AI73" s="8">
        <v>5025.87</v>
      </c>
      <c r="AJ73" s="8">
        <v>5686.88</v>
      </c>
      <c r="AK73" s="8">
        <v>4970.42</v>
      </c>
      <c r="AL73" s="8">
        <v>4945.05</v>
      </c>
      <c r="AM73" s="8">
        <v>18654.47</v>
      </c>
    </row>
    <row r="74" spans="1:39">
      <c r="A74" s="7" t="s">
        <v>71</v>
      </c>
      <c r="B74" s="7" t="s">
        <v>110</v>
      </c>
      <c r="C74" s="8">
        <v>80442.039999999994</v>
      </c>
      <c r="D74" s="8">
        <v>80442.039999999994</v>
      </c>
      <c r="E74" s="8">
        <v>76020.08</v>
      </c>
      <c r="F74" s="8">
        <v>62123.18</v>
      </c>
      <c r="G74" s="8">
        <v>44687.98</v>
      </c>
      <c r="H74" s="8">
        <v>44687.98</v>
      </c>
      <c r="I74" s="8">
        <v>49687.98</v>
      </c>
      <c r="J74" s="8">
        <v>47696.01</v>
      </c>
      <c r="K74" s="8">
        <v>58556.61</v>
      </c>
      <c r="L74" s="8">
        <v>61024.93</v>
      </c>
      <c r="M74" s="8">
        <v>69028.179999999993</v>
      </c>
      <c r="N74" s="8">
        <v>66663.210000000006</v>
      </c>
      <c r="O74" s="8">
        <v>68429.3</v>
      </c>
      <c r="P74" s="8">
        <v>73703.899999999994</v>
      </c>
      <c r="Q74" s="8">
        <v>73510.05</v>
      </c>
      <c r="R74" s="8">
        <v>74166.34</v>
      </c>
      <c r="S74" s="8">
        <v>73565.740000000005</v>
      </c>
      <c r="T74" s="8">
        <v>71924.320000000007</v>
      </c>
      <c r="U74" s="8">
        <v>69379.520000000004</v>
      </c>
      <c r="V74" s="8">
        <v>68702.2</v>
      </c>
      <c r="W74" s="8">
        <v>60425.760000000002</v>
      </c>
      <c r="X74" s="8">
        <v>31074.48</v>
      </c>
      <c r="Y74" s="8">
        <v>70369.52</v>
      </c>
      <c r="Z74" s="8">
        <v>70207.820000000007</v>
      </c>
      <c r="AA74" s="8">
        <v>75301.91</v>
      </c>
      <c r="AB74" s="8">
        <v>71610.080000000002</v>
      </c>
      <c r="AC74" s="8">
        <v>76837.98</v>
      </c>
      <c r="AD74" s="8">
        <v>85268.37</v>
      </c>
      <c r="AE74" s="8">
        <v>67980.19</v>
      </c>
      <c r="AF74" s="8">
        <v>65827.66</v>
      </c>
      <c r="AG74" s="8">
        <v>74412.009999999995</v>
      </c>
      <c r="AH74" s="8">
        <v>66847.960000000006</v>
      </c>
      <c r="AI74" s="8">
        <v>67136.5</v>
      </c>
      <c r="AJ74" s="8">
        <v>74611.66</v>
      </c>
      <c r="AK74" s="8">
        <v>67445.95</v>
      </c>
      <c r="AL74" s="8">
        <v>55375.25</v>
      </c>
      <c r="AM74" s="8">
        <v>59687.55</v>
      </c>
    </row>
    <row r="75" spans="1:39">
      <c r="A75" s="7" t="s">
        <v>71</v>
      </c>
      <c r="B75" s="7" t="s">
        <v>111</v>
      </c>
      <c r="C75" s="8">
        <v>1633.32</v>
      </c>
      <c r="D75" s="8">
        <v>3966</v>
      </c>
      <c r="E75" s="8">
        <v>2721.6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spans="1:39">
      <c r="A76" s="7" t="s">
        <v>71</v>
      </c>
      <c r="B76" s="7" t="s">
        <v>112</v>
      </c>
      <c r="C76" s="8">
        <v>4760</v>
      </c>
      <c r="D76" s="8">
        <v>4840</v>
      </c>
      <c r="E76" s="8">
        <v>4960</v>
      </c>
      <c r="F76" s="8">
        <v>4900</v>
      </c>
      <c r="G76" s="8">
        <v>3950</v>
      </c>
      <c r="H76" s="8">
        <v>3860</v>
      </c>
      <c r="I76" s="8">
        <v>4390</v>
      </c>
      <c r="J76" s="8">
        <v>4659</v>
      </c>
      <c r="K76" s="8">
        <v>4430</v>
      </c>
      <c r="L76" s="8">
        <v>4010</v>
      </c>
      <c r="M76" s="8">
        <v>4230</v>
      </c>
      <c r="N76" s="8">
        <v>4390</v>
      </c>
      <c r="O76" s="8">
        <v>4490</v>
      </c>
      <c r="P76" s="8">
        <v>5192</v>
      </c>
      <c r="Q76" s="8">
        <v>4760</v>
      </c>
      <c r="R76" s="8">
        <v>4664</v>
      </c>
      <c r="S76" s="8">
        <v>4640</v>
      </c>
      <c r="T76" s="8">
        <v>5288</v>
      </c>
      <c r="U76" s="8">
        <v>5432</v>
      </c>
      <c r="V76" s="8">
        <v>5588</v>
      </c>
      <c r="W76" s="8">
        <v>5552</v>
      </c>
      <c r="X76" s="8">
        <v>4844</v>
      </c>
      <c r="Y76" s="8">
        <v>3288</v>
      </c>
      <c r="Z76" s="8">
        <v>3612</v>
      </c>
      <c r="AA76" s="8">
        <v>4757</v>
      </c>
      <c r="AB76" s="8">
        <v>5525</v>
      </c>
      <c r="AC76" s="8">
        <v>5765</v>
      </c>
      <c r="AD76" s="8">
        <v>5009</v>
      </c>
      <c r="AE76" s="8">
        <v>5549</v>
      </c>
      <c r="AF76" s="8">
        <v>5093</v>
      </c>
      <c r="AG76" s="8">
        <v>4553</v>
      </c>
      <c r="AH76" s="8">
        <v>5333</v>
      </c>
      <c r="AI76" s="8">
        <v>8260</v>
      </c>
      <c r="AJ76" s="8">
        <v>7192</v>
      </c>
      <c r="AK76" s="8">
        <v>7336</v>
      </c>
      <c r="AL76" s="8">
        <v>6904</v>
      </c>
      <c r="AM76" s="8">
        <v>6880</v>
      </c>
    </row>
    <row r="77" spans="1:39">
      <c r="A77" s="7" t="s">
        <v>71</v>
      </c>
      <c r="B77" s="7" t="s">
        <v>113</v>
      </c>
      <c r="C77" s="8"/>
      <c r="D77" s="8">
        <v>3414.5</v>
      </c>
      <c r="E77" s="8">
        <v>89</v>
      </c>
      <c r="F77" s="8"/>
      <c r="G77" s="8">
        <v>428</v>
      </c>
      <c r="H77" s="8"/>
      <c r="I77" s="8"/>
      <c r="J77" s="8"/>
      <c r="K77" s="8"/>
      <c r="L77" s="8">
        <v>605</v>
      </c>
      <c r="M77" s="8"/>
      <c r="N77" s="8"/>
      <c r="O77" s="8"/>
      <c r="P77" s="8">
        <v>150</v>
      </c>
      <c r="Q77" s="8"/>
      <c r="R77" s="8"/>
      <c r="S77" s="8">
        <v>340</v>
      </c>
      <c r="T77" s="8">
        <v>1700</v>
      </c>
      <c r="U77" s="8"/>
      <c r="V77" s="8"/>
      <c r="W77" s="8"/>
      <c r="X77" s="8"/>
      <c r="Y77" s="8"/>
      <c r="Z77" s="8">
        <v>28072</v>
      </c>
      <c r="AA77" s="8">
        <v>1168.75</v>
      </c>
      <c r="AB77" s="8">
        <v>5407.25</v>
      </c>
      <c r="AC77" s="8">
        <v>1536.29</v>
      </c>
      <c r="AD77" s="8">
        <v>5185</v>
      </c>
      <c r="AE77" s="8">
        <v>2480</v>
      </c>
      <c r="AF77" s="8"/>
      <c r="AG77" s="8"/>
      <c r="AH77" s="8">
        <v>2546.25</v>
      </c>
      <c r="AI77" s="8"/>
      <c r="AJ77" s="8">
        <v>1300</v>
      </c>
      <c r="AK77" s="8"/>
      <c r="AL77" s="8"/>
      <c r="AM77" s="8">
        <v>142.5</v>
      </c>
    </row>
    <row r="78" spans="1:39">
      <c r="A78" s="7" t="s">
        <v>71</v>
      </c>
      <c r="B78" s="7" t="s">
        <v>114</v>
      </c>
      <c r="C78" s="8"/>
      <c r="D78" s="8"/>
      <c r="E78" s="8"/>
      <c r="F78" s="8"/>
      <c r="G78" s="8">
        <v>250</v>
      </c>
      <c r="H78" s="8"/>
      <c r="I78" s="8"/>
      <c r="J78" s="8"/>
      <c r="K78" s="8"/>
      <c r="L78" s="8"/>
      <c r="M78" s="8"/>
      <c r="N78" s="8">
        <v>800</v>
      </c>
      <c r="O78" s="8"/>
      <c r="P78" s="8"/>
      <c r="Q78" s="8">
        <v>525</v>
      </c>
      <c r="R78" s="8">
        <v>800</v>
      </c>
      <c r="S78" s="8">
        <v>10000</v>
      </c>
      <c r="T78" s="8">
        <v>10800</v>
      </c>
      <c r="U78" s="8"/>
      <c r="V78" s="8">
        <v>18642</v>
      </c>
      <c r="W78" s="8">
        <v>17000</v>
      </c>
      <c r="X78" s="8">
        <v>17000</v>
      </c>
      <c r="Y78" s="8">
        <v>1204</v>
      </c>
      <c r="Z78" s="8"/>
      <c r="AA78" s="8"/>
      <c r="AB78" s="8"/>
      <c r="AC78" s="8">
        <v>8000</v>
      </c>
      <c r="AD78" s="8"/>
      <c r="AE78" s="8"/>
      <c r="AF78" s="8">
        <v>2917</v>
      </c>
      <c r="AG78" s="8">
        <v>1305.9000000000001</v>
      </c>
      <c r="AH78" s="8">
        <v>4654.87</v>
      </c>
      <c r="AI78" s="8"/>
      <c r="AJ78" s="8"/>
      <c r="AK78" s="8"/>
      <c r="AL78" s="8"/>
      <c r="AM78" s="8">
        <v>5415.44</v>
      </c>
    </row>
    <row r="79" spans="1:39">
      <c r="A79" s="7" t="s">
        <v>71</v>
      </c>
      <c r="B79" s="7" t="s">
        <v>115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>
        <v>169</v>
      </c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spans="1:39">
      <c r="A80" s="7" t="s">
        <v>71</v>
      </c>
      <c r="B80" s="7" t="s">
        <v>116</v>
      </c>
      <c r="C80" s="8">
        <v>40</v>
      </c>
      <c r="D80" s="8">
        <v>604.4</v>
      </c>
      <c r="E80" s="8">
        <v>377.2</v>
      </c>
      <c r="F80" s="8">
        <v>451.2</v>
      </c>
      <c r="G80" s="8">
        <v>266.2</v>
      </c>
      <c r="H80" s="8">
        <v>101.5</v>
      </c>
      <c r="I80" s="8"/>
      <c r="J80" s="8">
        <v>424.2</v>
      </c>
      <c r="K80" s="8">
        <v>30</v>
      </c>
      <c r="L80" s="8">
        <v>992.59</v>
      </c>
      <c r="M80" s="8">
        <v>160</v>
      </c>
      <c r="N80" s="8">
        <v>515.05999999999995</v>
      </c>
      <c r="O80" s="8">
        <v>1923.46</v>
      </c>
      <c r="P80" s="8">
        <v>1774.44</v>
      </c>
      <c r="Q80" s="8">
        <v>518.23</v>
      </c>
      <c r="R80" s="8">
        <v>1446.91</v>
      </c>
      <c r="S80" s="8">
        <v>29</v>
      </c>
      <c r="T80" s="8">
        <v>2541.1</v>
      </c>
      <c r="U80" s="8">
        <v>873.97</v>
      </c>
      <c r="V80" s="8">
        <v>1638.05</v>
      </c>
      <c r="W80" s="8">
        <v>2430.63</v>
      </c>
      <c r="X80" s="8">
        <v>172.69</v>
      </c>
      <c r="Y80" s="8">
        <v>2317.3000000000002</v>
      </c>
      <c r="Z80" s="8">
        <v>3533.6</v>
      </c>
      <c r="AA80" s="8">
        <v>765.93</v>
      </c>
      <c r="AB80" s="8">
        <v>722.96</v>
      </c>
      <c r="AC80" s="8"/>
      <c r="AD80" s="8"/>
      <c r="AE80" s="8"/>
      <c r="AF80" s="8"/>
      <c r="AG80" s="8"/>
      <c r="AH80" s="8">
        <v>790.58</v>
      </c>
      <c r="AI80" s="8"/>
      <c r="AJ80" s="8">
        <v>309.95999999999998</v>
      </c>
      <c r="AK80" s="8">
        <v>500.96</v>
      </c>
      <c r="AL80" s="8">
        <v>579.4</v>
      </c>
      <c r="AM80" s="8">
        <v>283.89999999999998</v>
      </c>
    </row>
    <row r="81" spans="1:39">
      <c r="A81" s="7" t="s">
        <v>71</v>
      </c>
      <c r="B81" s="7" t="s">
        <v>117</v>
      </c>
      <c r="C81" s="8">
        <v>-94.79</v>
      </c>
      <c r="D81" s="8">
        <v>4686.1000000000004</v>
      </c>
      <c r="E81" s="8">
        <v>1787.27</v>
      </c>
      <c r="F81" s="8"/>
      <c r="G81" s="8">
        <v>617.05999999999995</v>
      </c>
      <c r="H81" s="8">
        <v>23.48</v>
      </c>
      <c r="I81" s="8"/>
      <c r="J81" s="8">
        <v>51</v>
      </c>
      <c r="K81" s="8">
        <v>925.15</v>
      </c>
      <c r="L81" s="8">
        <v>440.1</v>
      </c>
      <c r="M81" s="8">
        <v>-1653.45</v>
      </c>
      <c r="N81" s="8">
        <v>917.3</v>
      </c>
      <c r="O81" s="8">
        <v>3209.19</v>
      </c>
      <c r="P81" s="8">
        <v>562.67999999999995</v>
      </c>
      <c r="Q81" s="8">
        <v>1603.02</v>
      </c>
      <c r="R81" s="8">
        <v>1210.79</v>
      </c>
      <c r="S81" s="8"/>
      <c r="T81" s="8"/>
      <c r="U81" s="8">
        <v>389.48</v>
      </c>
      <c r="V81" s="8">
        <v>3128.96</v>
      </c>
      <c r="W81" s="8">
        <v>2103.69</v>
      </c>
      <c r="X81" s="8">
        <v>560.94000000000005</v>
      </c>
      <c r="Y81" s="8">
        <v>144.78</v>
      </c>
      <c r="Z81" s="8">
        <v>3416.92</v>
      </c>
      <c r="AA81" s="8">
        <v>158.68</v>
      </c>
      <c r="AB81" s="8">
        <v>235.64</v>
      </c>
      <c r="AC81" s="8"/>
      <c r="AD81" s="8"/>
      <c r="AE81" s="8"/>
      <c r="AF81" s="8"/>
      <c r="AG81" s="8"/>
      <c r="AH81" s="8">
        <v>945.92</v>
      </c>
      <c r="AI81" s="8"/>
      <c r="AJ81" s="8"/>
      <c r="AK81" s="8">
        <v>1000</v>
      </c>
      <c r="AL81" s="8">
        <v>245.81</v>
      </c>
      <c r="AM81" s="8">
        <v>421.65</v>
      </c>
    </row>
    <row r="82" spans="1:39">
      <c r="A82" s="7" t="s">
        <v>71</v>
      </c>
      <c r="B82" s="7" t="s">
        <v>118</v>
      </c>
      <c r="C82" s="8">
        <v>303.54000000000002</v>
      </c>
      <c r="D82" s="8">
        <v>88.39</v>
      </c>
      <c r="E82" s="8">
        <v>279.73</v>
      </c>
      <c r="F82" s="8">
        <v>21.9</v>
      </c>
      <c r="G82" s="8">
        <v>37.54</v>
      </c>
      <c r="H82" s="8">
        <v>53.9</v>
      </c>
      <c r="I82" s="8">
        <v>30</v>
      </c>
      <c r="J82" s="8">
        <v>18.899999999999999</v>
      </c>
      <c r="K82" s="8">
        <v>110.9</v>
      </c>
      <c r="L82" s="8">
        <v>210.29</v>
      </c>
      <c r="M82" s="8">
        <v>101.43</v>
      </c>
      <c r="N82" s="8">
        <v>114.11</v>
      </c>
      <c r="O82" s="8">
        <v>238.19</v>
      </c>
      <c r="P82" s="8">
        <v>60</v>
      </c>
      <c r="Q82" s="8">
        <v>130.88</v>
      </c>
      <c r="R82" s="8">
        <v>229.62</v>
      </c>
      <c r="S82" s="8">
        <v>68.959999999999994</v>
      </c>
      <c r="T82" s="8">
        <v>333.36</v>
      </c>
      <c r="U82" s="8">
        <v>198.11</v>
      </c>
      <c r="V82" s="8">
        <v>459.63</v>
      </c>
      <c r="W82" s="8">
        <v>369.23</v>
      </c>
      <c r="X82" s="8">
        <v>182</v>
      </c>
      <c r="Y82" s="8">
        <v>423.77</v>
      </c>
      <c r="Z82" s="8">
        <v>469.74</v>
      </c>
      <c r="AA82" s="8">
        <v>90.05</v>
      </c>
      <c r="AB82" s="8">
        <v>299.35000000000002</v>
      </c>
      <c r="AC82" s="8"/>
      <c r="AD82" s="8"/>
      <c r="AE82" s="8"/>
      <c r="AF82" s="8"/>
      <c r="AG82" s="8"/>
      <c r="AH82" s="8">
        <v>277.06</v>
      </c>
      <c r="AI82" s="8"/>
      <c r="AJ82" s="8"/>
      <c r="AK82" s="8">
        <v>127.61</v>
      </c>
      <c r="AL82" s="8"/>
      <c r="AM82" s="8">
        <v>120</v>
      </c>
    </row>
    <row r="83" spans="1:39">
      <c r="A83" s="7" t="s">
        <v>71</v>
      </c>
      <c r="B83" s="7" t="s">
        <v>119</v>
      </c>
      <c r="C83" s="8"/>
      <c r="D83" s="8"/>
      <c r="E83" s="8"/>
      <c r="F83" s="8"/>
      <c r="G83" s="8"/>
      <c r="H83" s="8"/>
      <c r="I83" s="8">
        <v>127.86</v>
      </c>
      <c r="J83" s="8"/>
      <c r="K83" s="8"/>
      <c r="L83" s="8"/>
      <c r="M83" s="8">
        <v>305.08999999999997</v>
      </c>
      <c r="N83" s="8">
        <v>193.55</v>
      </c>
      <c r="O83" s="8">
        <v>17.059999999999999</v>
      </c>
      <c r="P83" s="8">
        <v>31.82</v>
      </c>
      <c r="Q83" s="8">
        <v>34.299999999999997</v>
      </c>
      <c r="R83" s="8">
        <v>70.290000000000006</v>
      </c>
      <c r="S83" s="8">
        <v>50.08</v>
      </c>
      <c r="T83" s="8"/>
      <c r="U83" s="8"/>
      <c r="V83" s="8">
        <v>73.66</v>
      </c>
      <c r="W83" s="8"/>
      <c r="X83" s="8">
        <v>137.31</v>
      </c>
      <c r="Y83" s="8"/>
      <c r="Z83" s="8">
        <v>124.88</v>
      </c>
      <c r="AA83" s="8"/>
      <c r="AB83" s="8"/>
      <c r="AC83" s="8"/>
      <c r="AD83" s="8"/>
      <c r="AE83" s="8">
        <v>55.2</v>
      </c>
      <c r="AF83" s="8"/>
      <c r="AG83" s="8"/>
      <c r="AH83" s="8">
        <v>69.3</v>
      </c>
      <c r="AI83" s="8"/>
      <c r="AJ83" s="8"/>
      <c r="AK83" s="8"/>
      <c r="AL83" s="8"/>
      <c r="AM83" s="8"/>
    </row>
    <row r="84" spans="1:39">
      <c r="A84" s="7" t="s">
        <v>71</v>
      </c>
      <c r="B84" s="7" t="s">
        <v>120</v>
      </c>
      <c r="C84" s="8">
        <v>469.31</v>
      </c>
      <c r="D84" s="8"/>
      <c r="E84" s="8">
        <v>272.62</v>
      </c>
      <c r="F84" s="8">
        <v>159.38</v>
      </c>
      <c r="G84" s="8">
        <v>91.5</v>
      </c>
      <c r="H84" s="8">
        <v>524.73</v>
      </c>
      <c r="I84" s="8"/>
      <c r="J84" s="8">
        <v>6.05</v>
      </c>
      <c r="K84" s="8">
        <v>39.93</v>
      </c>
      <c r="L84" s="8">
        <v>152.31</v>
      </c>
      <c r="M84" s="8">
        <v>307.08999999999997</v>
      </c>
      <c r="N84" s="8">
        <v>424.13</v>
      </c>
      <c r="O84" s="8">
        <v>270.20999999999998</v>
      </c>
      <c r="P84" s="8">
        <v>305.17</v>
      </c>
      <c r="Q84" s="8">
        <v>766.27</v>
      </c>
      <c r="R84" s="8">
        <v>384.27</v>
      </c>
      <c r="S84" s="8">
        <v>8.67</v>
      </c>
      <c r="T84" s="8">
        <v>335.83</v>
      </c>
      <c r="U84" s="8">
        <v>1168.07</v>
      </c>
      <c r="V84" s="8">
        <v>212.5</v>
      </c>
      <c r="W84" s="8">
        <v>289.61</v>
      </c>
      <c r="X84" s="8">
        <v>230.98</v>
      </c>
      <c r="Y84" s="8">
        <v>446.68</v>
      </c>
      <c r="Z84" s="8">
        <v>858.63</v>
      </c>
      <c r="AA84" s="8">
        <v>80.11</v>
      </c>
      <c r="AB84" s="8">
        <v>60.01</v>
      </c>
      <c r="AC84" s="8">
        <v>12.1</v>
      </c>
      <c r="AD84" s="8"/>
      <c r="AE84" s="8">
        <v>6.82</v>
      </c>
      <c r="AF84" s="8">
        <v>25.15</v>
      </c>
      <c r="AG84" s="8"/>
      <c r="AH84" s="8">
        <v>61.65</v>
      </c>
      <c r="AI84" s="8">
        <v>72.58</v>
      </c>
      <c r="AJ84" s="8">
        <v>139.51</v>
      </c>
      <c r="AK84" s="8">
        <v>245.34</v>
      </c>
      <c r="AL84" s="8">
        <v>28.29</v>
      </c>
      <c r="AM84" s="8">
        <v>81.36</v>
      </c>
    </row>
    <row r="85" spans="1:39">
      <c r="A85" s="7" t="s">
        <v>71</v>
      </c>
      <c r="B85" s="7" t="s">
        <v>121</v>
      </c>
      <c r="C85" s="8"/>
      <c r="D85" s="8"/>
      <c r="E85" s="8">
        <v>196.2</v>
      </c>
      <c r="F85" s="8">
        <v>82.83</v>
      </c>
      <c r="G85" s="8"/>
      <c r="H85" s="8"/>
      <c r="I85" s="8"/>
      <c r="J85" s="8">
        <v>39.01</v>
      </c>
      <c r="K85" s="8">
        <v>105.65</v>
      </c>
      <c r="L85" s="8">
        <v>751.76</v>
      </c>
      <c r="M85" s="8">
        <v>25.84</v>
      </c>
      <c r="N85" s="8"/>
      <c r="O85" s="8">
        <v>473.93</v>
      </c>
      <c r="P85" s="8">
        <v>262.74</v>
      </c>
      <c r="Q85" s="8">
        <v>502.94</v>
      </c>
      <c r="R85" s="8">
        <v>205.76</v>
      </c>
      <c r="S85" s="8"/>
      <c r="T85" s="8">
        <v>31.64</v>
      </c>
      <c r="U85" s="8">
        <v>366.57</v>
      </c>
      <c r="V85" s="8">
        <v>281.95999999999998</v>
      </c>
      <c r="W85" s="8">
        <v>673.82</v>
      </c>
      <c r="X85" s="8">
        <v>165.75</v>
      </c>
      <c r="Y85" s="8">
        <v>853.04</v>
      </c>
      <c r="Z85" s="8">
        <v>36.479999999999997</v>
      </c>
      <c r="AA85" s="8">
        <v>121.52</v>
      </c>
      <c r="AB85" s="8"/>
      <c r="AC85" s="8">
        <v>86.57</v>
      </c>
      <c r="AD85" s="8"/>
      <c r="AE85" s="8"/>
      <c r="AF85" s="8">
        <v>23.48</v>
      </c>
      <c r="AG85" s="8"/>
      <c r="AH85" s="8"/>
      <c r="AI85" s="8">
        <v>46.39</v>
      </c>
      <c r="AJ85" s="8"/>
      <c r="AK85" s="8"/>
      <c r="AL85" s="8"/>
      <c r="AM85" s="8"/>
    </row>
    <row r="86" spans="1:39">
      <c r="A86" s="7" t="s">
        <v>71</v>
      </c>
      <c r="B86" s="7" t="s">
        <v>122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>
        <v>1073.8900000000001</v>
      </c>
      <c r="AB86" s="8">
        <v>1006.5</v>
      </c>
      <c r="AC86" s="8">
        <v>204.1</v>
      </c>
      <c r="AD86" s="8">
        <v>164.98</v>
      </c>
      <c r="AE86" s="8">
        <v>360.07</v>
      </c>
      <c r="AF86" s="8">
        <v>1768.36</v>
      </c>
      <c r="AG86" s="8"/>
      <c r="AH86" s="8">
        <v>1811.1</v>
      </c>
      <c r="AI86" s="8">
        <v>1021.98</v>
      </c>
      <c r="AJ86" s="8"/>
      <c r="AK86" s="8">
        <v>855.92</v>
      </c>
      <c r="AL86" s="8">
        <v>16</v>
      </c>
      <c r="AM86" s="8">
        <v>1781.11</v>
      </c>
    </row>
    <row r="87" spans="1:39">
      <c r="A87" s="7" t="s">
        <v>71</v>
      </c>
      <c r="B87" s="7" t="s">
        <v>123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>
        <v>1656.52</v>
      </c>
      <c r="AB87" s="8">
        <v>2355.0300000000002</v>
      </c>
      <c r="AC87" s="8">
        <v>892.37</v>
      </c>
      <c r="AD87" s="8">
        <v>716.37</v>
      </c>
      <c r="AE87" s="8">
        <v>-180</v>
      </c>
      <c r="AF87" s="8">
        <v>306.2</v>
      </c>
      <c r="AG87" s="8">
        <v>2172.0500000000002</v>
      </c>
      <c r="AH87" s="8"/>
      <c r="AI87" s="8">
        <v>1687.12</v>
      </c>
      <c r="AJ87" s="8">
        <v>664.47</v>
      </c>
      <c r="AK87" s="8">
        <v>499.76</v>
      </c>
      <c r="AL87" s="8">
        <v>3099.65</v>
      </c>
      <c r="AM87" s="8">
        <v>2239.56</v>
      </c>
    </row>
    <row r="88" spans="1:39">
      <c r="A88" s="7" t="s">
        <v>71</v>
      </c>
      <c r="B88" s="7" t="s">
        <v>124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>
        <v>72.680000000000007</v>
      </c>
      <c r="AB88" s="8">
        <v>58.44</v>
      </c>
      <c r="AC88" s="8">
        <v>71.91</v>
      </c>
      <c r="AD88" s="8"/>
      <c r="AE88" s="8">
        <v>127.35</v>
      </c>
      <c r="AF88" s="8">
        <v>31.53</v>
      </c>
      <c r="AG88" s="8">
        <v>85.76</v>
      </c>
      <c r="AH88" s="8"/>
      <c r="AI88" s="8"/>
      <c r="AJ88" s="8">
        <v>47.56</v>
      </c>
      <c r="AK88" s="8">
        <v>66.72</v>
      </c>
      <c r="AL88" s="8"/>
      <c r="AM88" s="8">
        <v>70.25</v>
      </c>
    </row>
    <row r="89" spans="1:39">
      <c r="A89" s="7" t="s">
        <v>71</v>
      </c>
      <c r="B89" s="7" t="s">
        <v>125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>
        <v>207.9</v>
      </c>
      <c r="AB89" s="8">
        <v>552.78</v>
      </c>
      <c r="AC89" s="8">
        <v>264.23</v>
      </c>
      <c r="AD89" s="8"/>
      <c r="AE89" s="8">
        <v>20.8</v>
      </c>
      <c r="AF89" s="8">
        <v>61</v>
      </c>
      <c r="AG89" s="8"/>
      <c r="AH89" s="8"/>
      <c r="AI89" s="8">
        <v>102</v>
      </c>
      <c r="AJ89" s="8"/>
      <c r="AK89" s="8">
        <v>224.71</v>
      </c>
      <c r="AL89" s="8">
        <v>306.08</v>
      </c>
      <c r="AM89" s="8">
        <v>48</v>
      </c>
    </row>
    <row r="90" spans="1:39">
      <c r="A90" s="7" t="s">
        <v>71</v>
      </c>
      <c r="B90" s="7" t="s">
        <v>126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>
        <v>278.29000000000002</v>
      </c>
      <c r="AB90" s="8">
        <v>463.84</v>
      </c>
      <c r="AC90" s="8">
        <v>248.28</v>
      </c>
      <c r="AD90" s="8"/>
      <c r="AE90" s="8">
        <v>174.83</v>
      </c>
      <c r="AF90" s="8">
        <v>150.76</v>
      </c>
      <c r="AG90" s="8">
        <v>750.17</v>
      </c>
      <c r="AH90" s="8"/>
      <c r="AI90" s="8">
        <v>182.95</v>
      </c>
      <c r="AJ90" s="8">
        <v>29.17</v>
      </c>
      <c r="AK90" s="8">
        <v>17.559999999999999</v>
      </c>
      <c r="AL90" s="8">
        <v>784.73</v>
      </c>
      <c r="AM90" s="8">
        <v>577.14</v>
      </c>
    </row>
    <row r="91" spans="1:39">
      <c r="A91" s="7" t="s">
        <v>71</v>
      </c>
      <c r="B91" s="7" t="s">
        <v>127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>
        <v>1088</v>
      </c>
      <c r="AB91" s="8">
        <v>178.49</v>
      </c>
      <c r="AC91" s="8">
        <v>97.3</v>
      </c>
      <c r="AD91" s="8"/>
      <c r="AE91" s="8"/>
      <c r="AF91" s="8">
        <v>30.6</v>
      </c>
      <c r="AG91" s="8"/>
      <c r="AH91" s="8"/>
      <c r="AI91" s="8"/>
      <c r="AJ91" s="8"/>
      <c r="AK91" s="8"/>
      <c r="AL91" s="8"/>
      <c r="AM91" s="8"/>
    </row>
    <row r="92" spans="1:39">
      <c r="A92" s="7" t="s">
        <v>71</v>
      </c>
      <c r="B92" s="7" t="s">
        <v>128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spans="1:39">
      <c r="A93" s="5"/>
      <c r="B93" s="5" t="s">
        <v>129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spans="1:39">
      <c r="A94" s="7" t="s">
        <v>130</v>
      </c>
      <c r="B94" s="7" t="s">
        <v>131</v>
      </c>
      <c r="C94" s="8">
        <v>84.98</v>
      </c>
      <c r="D94" s="8">
        <v>76.760000000000005</v>
      </c>
      <c r="E94" s="8">
        <v>85</v>
      </c>
      <c r="F94" s="8">
        <v>79.53</v>
      </c>
      <c r="G94" s="8">
        <v>87.77</v>
      </c>
      <c r="H94" s="8">
        <v>96.02</v>
      </c>
      <c r="I94" s="8">
        <v>142</v>
      </c>
      <c r="J94" s="8">
        <v>228.5</v>
      </c>
      <c r="K94" s="8">
        <v>267.73</v>
      </c>
      <c r="L94" s="8">
        <v>315.27</v>
      </c>
      <c r="M94" s="8">
        <v>393.75</v>
      </c>
      <c r="N94" s="8">
        <v>414</v>
      </c>
      <c r="O94" s="8">
        <v>469.47</v>
      </c>
      <c r="P94" s="8">
        <v>464.69</v>
      </c>
      <c r="Q94" s="8">
        <v>637.12</v>
      </c>
      <c r="R94" s="8">
        <v>576.19000000000005</v>
      </c>
      <c r="S94" s="8">
        <v>679.86</v>
      </c>
      <c r="T94" s="8">
        <v>618.89</v>
      </c>
      <c r="U94" s="8">
        <v>640.29999999999995</v>
      </c>
      <c r="V94" s="8">
        <v>641.11</v>
      </c>
      <c r="W94" s="8">
        <v>600.51</v>
      </c>
      <c r="X94" s="8">
        <v>663.41</v>
      </c>
      <c r="Y94" s="8">
        <v>696.24</v>
      </c>
      <c r="Z94" s="8">
        <v>721.21</v>
      </c>
      <c r="AA94" s="8">
        <v>821.66</v>
      </c>
      <c r="AB94" s="8">
        <v>723.04</v>
      </c>
      <c r="AC94" s="8">
        <v>723.89</v>
      </c>
      <c r="AD94" s="8">
        <v>681.34</v>
      </c>
      <c r="AE94" s="8">
        <v>606.29999999999995</v>
      </c>
      <c r="AF94" s="8">
        <v>440.91</v>
      </c>
      <c r="AG94" s="8">
        <v>497.35</v>
      </c>
      <c r="AH94" s="8">
        <v>450.63</v>
      </c>
      <c r="AI94" s="8">
        <v>466.18</v>
      </c>
      <c r="AJ94" s="8">
        <v>466.73</v>
      </c>
      <c r="AK94" s="8">
        <v>437.13</v>
      </c>
      <c r="AL94" s="8">
        <v>416.32</v>
      </c>
      <c r="AM94" s="8">
        <v>320.93</v>
      </c>
    </row>
    <row r="95" spans="1:39">
      <c r="A95" s="7" t="s">
        <v>132</v>
      </c>
      <c r="B95" s="7" t="s">
        <v>133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>
        <v>3656.61</v>
      </c>
      <c r="Y95" s="8"/>
      <c r="Z95" s="8"/>
      <c r="AA95" s="8"/>
      <c r="AB95" s="8"/>
      <c r="AC95" s="8"/>
      <c r="AD95" s="8"/>
      <c r="AE95" s="8">
        <v>3151.26</v>
      </c>
      <c r="AF95" s="8">
        <v>2513.14</v>
      </c>
      <c r="AG95" s="8"/>
      <c r="AH95" s="8"/>
      <c r="AI95" s="8"/>
      <c r="AJ95" s="8"/>
      <c r="AK95" s="8">
        <v>1608.76</v>
      </c>
      <c r="AL95" s="8"/>
      <c r="AM95" s="8"/>
    </row>
    <row r="96" spans="1:39">
      <c r="A96" s="7" t="s">
        <v>132</v>
      </c>
      <c r="B96" s="7" t="s">
        <v>134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>
        <v>10000</v>
      </c>
      <c r="AJ96" s="8"/>
      <c r="AK96" s="8"/>
      <c r="AL96" s="8"/>
      <c r="AM96" s="8"/>
    </row>
    <row r="97" spans="1:39">
      <c r="A97" s="5"/>
      <c r="B97" s="5" t="s">
        <v>135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spans="1:39">
      <c r="A98" s="5"/>
      <c r="B98" s="5" t="s">
        <v>136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spans="1:39">
      <c r="A99" s="7" t="s">
        <v>137</v>
      </c>
      <c r="B99" s="7" t="s">
        <v>138</v>
      </c>
      <c r="C99" s="8">
        <v>922623.66</v>
      </c>
      <c r="D99" s="8">
        <v>798998.06</v>
      </c>
      <c r="E99" s="8">
        <v>629240.68999999994</v>
      </c>
      <c r="F99" s="8">
        <v>553999.77</v>
      </c>
      <c r="G99" s="8">
        <v>461908.37</v>
      </c>
      <c r="H99" s="8">
        <v>367285.1</v>
      </c>
      <c r="I99" s="8">
        <v>337558.05</v>
      </c>
      <c r="J99" s="8">
        <v>227426.3</v>
      </c>
      <c r="K99" s="8">
        <v>191500.99</v>
      </c>
      <c r="L99" s="8">
        <v>161310.85</v>
      </c>
      <c r="M99" s="8">
        <v>236111.32</v>
      </c>
      <c r="N99" s="8">
        <v>328293.84999999998</v>
      </c>
      <c r="O99" s="8">
        <v>265969.25</v>
      </c>
      <c r="P99" s="8">
        <v>176131.28</v>
      </c>
      <c r="Q99" s="8">
        <v>253777.46</v>
      </c>
      <c r="R99" s="8">
        <v>279475.99</v>
      </c>
      <c r="S99" s="8">
        <v>295411.09999999998</v>
      </c>
      <c r="T99" s="8">
        <v>186042.85</v>
      </c>
      <c r="U99" s="8">
        <v>218022.65</v>
      </c>
      <c r="V99" s="8">
        <v>242477.02</v>
      </c>
      <c r="W99" s="8">
        <v>180297.15</v>
      </c>
      <c r="X99" s="8">
        <v>468227.16</v>
      </c>
      <c r="Y99" s="8">
        <v>391283.24</v>
      </c>
      <c r="Z99" s="8">
        <v>222089.79</v>
      </c>
      <c r="AA99" s="8">
        <v>271600.83</v>
      </c>
      <c r="AB99" s="8">
        <v>178918.37</v>
      </c>
      <c r="AC99" s="8">
        <v>76217.490000000005</v>
      </c>
      <c r="AD99" s="8">
        <v>128684.5</v>
      </c>
      <c r="AE99" s="8">
        <v>164120.21</v>
      </c>
      <c r="AF99" s="8">
        <v>69174.070000000007</v>
      </c>
      <c r="AG99" s="8">
        <v>72044.160000000003</v>
      </c>
      <c r="AH99" s="8">
        <v>197402.31</v>
      </c>
      <c r="AI99" s="8">
        <v>360214.52</v>
      </c>
      <c r="AJ99" s="8">
        <v>222287.89</v>
      </c>
      <c r="AK99" s="8">
        <v>103499.74</v>
      </c>
      <c r="AL99" s="8">
        <v>108938.65</v>
      </c>
      <c r="AM99" s="8">
        <v>190773.6</v>
      </c>
    </row>
    <row r="100" spans="1:39">
      <c r="A100" s="7" t="s">
        <v>137</v>
      </c>
      <c r="B100" s="7" t="s">
        <v>139</v>
      </c>
      <c r="C100" s="8">
        <v>500342.56</v>
      </c>
      <c r="D100" s="8">
        <v>500419.32</v>
      </c>
      <c r="E100" s="8">
        <v>500504.32000000001</v>
      </c>
      <c r="F100" s="8">
        <v>500583.85</v>
      </c>
      <c r="G100" s="8">
        <v>500671.62</v>
      </c>
      <c r="H100" s="8">
        <v>500767.64</v>
      </c>
      <c r="I100" s="8">
        <v>500909.64</v>
      </c>
      <c r="J100" s="8">
        <v>501138.14</v>
      </c>
      <c r="K100" s="8">
        <v>501405.87</v>
      </c>
      <c r="L100" s="8">
        <v>501721.14</v>
      </c>
      <c r="M100" s="8">
        <v>462114.89</v>
      </c>
      <c r="N100" s="8">
        <v>462528.89</v>
      </c>
      <c r="O100" s="8">
        <v>502998.36</v>
      </c>
      <c r="P100" s="8">
        <v>503463.05</v>
      </c>
      <c r="Q100" s="8">
        <v>504100.17</v>
      </c>
      <c r="R100" s="8">
        <v>504676.36</v>
      </c>
      <c r="S100" s="8">
        <v>505356.22</v>
      </c>
      <c r="T100" s="8">
        <v>505975.11</v>
      </c>
      <c r="U100" s="8">
        <v>506615.41</v>
      </c>
      <c r="V100" s="8">
        <v>507256.52</v>
      </c>
      <c r="W100" s="8">
        <v>507857.03</v>
      </c>
      <c r="X100" s="8">
        <v>508520.44</v>
      </c>
      <c r="Y100" s="8">
        <v>609216.68000000005</v>
      </c>
      <c r="Z100" s="8">
        <v>609937.89</v>
      </c>
      <c r="AA100" s="8">
        <v>610759.55000000005</v>
      </c>
      <c r="AB100" s="8">
        <v>611482.59</v>
      </c>
      <c r="AC100" s="8">
        <v>612206.48</v>
      </c>
      <c r="AD100" s="8">
        <v>512887.82</v>
      </c>
      <c r="AE100" s="8">
        <v>413494.12</v>
      </c>
      <c r="AF100" s="8">
        <v>413935.03</v>
      </c>
      <c r="AG100" s="8">
        <v>394432.38</v>
      </c>
      <c r="AH100" s="8">
        <v>394883.01</v>
      </c>
      <c r="AI100" s="8">
        <v>395349.19</v>
      </c>
      <c r="AJ100" s="8">
        <v>395815.92</v>
      </c>
      <c r="AK100" s="8">
        <v>396253.05</v>
      </c>
      <c r="AL100" s="8">
        <v>346669.37</v>
      </c>
      <c r="AM100" s="8">
        <v>346990.3</v>
      </c>
    </row>
    <row r="101" spans="1:39">
      <c r="A101" s="7" t="s">
        <v>140</v>
      </c>
      <c r="B101" s="7" t="s">
        <v>141</v>
      </c>
      <c r="C101" s="8">
        <v>49342</v>
      </c>
      <c r="D101" s="8">
        <v>13900</v>
      </c>
      <c r="E101" s="8">
        <v>22300</v>
      </c>
      <c r="F101" s="8">
        <v>13240</v>
      </c>
      <c r="G101" s="8">
        <v>14850</v>
      </c>
      <c r="H101" s="8">
        <v>14350</v>
      </c>
      <c r="I101" s="8">
        <v>6967.5</v>
      </c>
      <c r="J101" s="8">
        <v>64315.5</v>
      </c>
      <c r="K101" s="8">
        <v>87499</v>
      </c>
      <c r="L101" s="8">
        <v>2900</v>
      </c>
      <c r="M101" s="8">
        <v>10806.3</v>
      </c>
      <c r="N101" s="8">
        <v>27800</v>
      </c>
      <c r="O101" s="8">
        <v>39685</v>
      </c>
      <c r="P101" s="8">
        <v>15400</v>
      </c>
      <c r="Q101" s="8">
        <v>34500</v>
      </c>
      <c r="R101" s="8">
        <v>27075</v>
      </c>
      <c r="S101" s="8">
        <v>42325</v>
      </c>
      <c r="T101" s="8">
        <v>106600</v>
      </c>
      <c r="U101" s="8">
        <v>120878</v>
      </c>
      <c r="V101" s="8">
        <v>96668</v>
      </c>
      <c r="W101" s="8">
        <v>28488.6</v>
      </c>
      <c r="X101" s="8">
        <v>21114</v>
      </c>
      <c r="Y101" s="8">
        <v>17200</v>
      </c>
      <c r="Z101" s="8">
        <v>12000</v>
      </c>
      <c r="AA101" s="8">
        <v>42388</v>
      </c>
      <c r="AB101" s="8">
        <v>62888</v>
      </c>
      <c r="AC101" s="8">
        <v>47637</v>
      </c>
      <c r="AD101" s="8">
        <v>32250</v>
      </c>
      <c r="AE101" s="8">
        <v>33281.75</v>
      </c>
      <c r="AF101" s="8">
        <v>60801.75</v>
      </c>
      <c r="AG101" s="8">
        <v>152196.75</v>
      </c>
      <c r="AH101" s="8">
        <v>184168</v>
      </c>
      <c r="AI101" s="8">
        <v>26499</v>
      </c>
      <c r="AJ101" s="8">
        <v>101499</v>
      </c>
      <c r="AK101" s="8">
        <v>111749</v>
      </c>
      <c r="AL101" s="8">
        <v>76187</v>
      </c>
      <c r="AM101" s="8">
        <v>89300</v>
      </c>
    </row>
    <row r="102" spans="1:39">
      <c r="A102" s="7" t="s">
        <v>142</v>
      </c>
      <c r="B102" s="7" t="s">
        <v>143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spans="1:39">
      <c r="A103" s="7" t="s">
        <v>142</v>
      </c>
      <c r="B103" s="7" t="s">
        <v>144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>
        <v>2000</v>
      </c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>
        <v>3000</v>
      </c>
      <c r="AH103" s="8"/>
      <c r="AI103" s="8"/>
      <c r="AJ103" s="8"/>
      <c r="AK103" s="8">
        <v>10000</v>
      </c>
      <c r="AL103" s="8"/>
      <c r="AM103" s="8"/>
    </row>
    <row r="104" spans="1:39">
      <c r="A104" s="7" t="s">
        <v>142</v>
      </c>
      <c r="B104" s="7" t="s">
        <v>145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>
        <v>3574.33</v>
      </c>
      <c r="AB104" s="8">
        <v>3189.67</v>
      </c>
      <c r="AC104" s="8">
        <v>6555.01</v>
      </c>
      <c r="AD104" s="8">
        <v>4295.3500000000004</v>
      </c>
      <c r="AE104" s="8">
        <v>2432.36</v>
      </c>
      <c r="AF104" s="8">
        <v>5776.45</v>
      </c>
      <c r="AG104" s="8">
        <v>6865.21</v>
      </c>
      <c r="AH104" s="8">
        <v>6454.97</v>
      </c>
      <c r="AI104" s="8">
        <v>10707.64</v>
      </c>
      <c r="AJ104" s="8">
        <v>8510.31</v>
      </c>
      <c r="AK104" s="8">
        <v>13410.31</v>
      </c>
      <c r="AL104" s="8">
        <v>19735.310000000001</v>
      </c>
      <c r="AM104" s="8">
        <v>19735.310000000001</v>
      </c>
    </row>
    <row r="105" spans="1:39">
      <c r="A105" s="7" t="s">
        <v>142</v>
      </c>
      <c r="B105" s="7" t="s">
        <v>146</v>
      </c>
      <c r="C105" s="8">
        <v>10687.5</v>
      </c>
      <c r="D105" s="8">
        <v>10687.5</v>
      </c>
      <c r="E105" s="8">
        <v>10687.5</v>
      </c>
      <c r="F105" s="8">
        <v>10687.5</v>
      </c>
      <c r="G105" s="8">
        <v>10687.5</v>
      </c>
      <c r="H105" s="8">
        <v>10687.5</v>
      </c>
      <c r="I105" s="8">
        <v>10687.5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spans="1:39">
      <c r="A106" s="5"/>
      <c r="B106" s="5" t="s">
        <v>147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</row>
    <row r="107" spans="1:39">
      <c r="A107" s="7" t="s">
        <v>148</v>
      </c>
      <c r="B107" s="7" t="s">
        <v>149</v>
      </c>
      <c r="C107" s="8">
        <v>11538.72</v>
      </c>
      <c r="D107" s="8">
        <v>11538.72</v>
      </c>
      <c r="E107" s="8">
        <v>11538.72</v>
      </c>
      <c r="F107" s="8">
        <v>11538.72</v>
      </c>
      <c r="G107" s="8">
        <v>11538.72</v>
      </c>
      <c r="H107" s="8">
        <v>11538.72</v>
      </c>
      <c r="I107" s="8">
        <v>11538.72</v>
      </c>
      <c r="J107" s="8">
        <v>11538.72</v>
      </c>
      <c r="K107" s="8">
        <v>11538.72</v>
      </c>
      <c r="L107" s="8">
        <v>11538.72</v>
      </c>
      <c r="M107" s="8">
        <v>11538.72</v>
      </c>
      <c r="N107" s="8">
        <v>11538.72</v>
      </c>
      <c r="O107" s="8">
        <v>11538.72</v>
      </c>
      <c r="P107" s="8">
        <v>11538.72</v>
      </c>
      <c r="Q107" s="8">
        <v>12937.17</v>
      </c>
      <c r="R107" s="8">
        <v>12937.17</v>
      </c>
      <c r="S107" s="8">
        <v>12937.17</v>
      </c>
      <c r="T107" s="8">
        <v>12937.17</v>
      </c>
      <c r="U107" s="8">
        <v>14709.24</v>
      </c>
      <c r="V107" s="8">
        <v>14709.24</v>
      </c>
      <c r="W107" s="8">
        <v>14709.24</v>
      </c>
      <c r="X107" s="8">
        <v>15964.27</v>
      </c>
      <c r="Y107" s="8">
        <v>17093.560000000001</v>
      </c>
      <c r="Z107" s="8">
        <v>17428.23</v>
      </c>
      <c r="AA107" s="8">
        <v>17078.23</v>
      </c>
      <c r="AB107" s="8">
        <v>17078.23</v>
      </c>
      <c r="AC107" s="8">
        <v>18770.259999999998</v>
      </c>
      <c r="AD107" s="8">
        <v>18420.259999999998</v>
      </c>
      <c r="AE107" s="8">
        <v>18420.259999999998</v>
      </c>
      <c r="AF107" s="8">
        <v>18420.259999999998</v>
      </c>
      <c r="AG107" s="8">
        <v>18420.259999999998</v>
      </c>
      <c r="AH107" s="8">
        <v>18420.259999999998</v>
      </c>
      <c r="AI107" s="8">
        <v>18420.259999999998</v>
      </c>
      <c r="AJ107" s="8">
        <v>18420.259999999998</v>
      </c>
      <c r="AK107" s="8">
        <v>18420.259999999998</v>
      </c>
      <c r="AL107" s="8">
        <v>18420.259999999998</v>
      </c>
      <c r="AM107" s="8">
        <v>18420.259999999998</v>
      </c>
    </row>
    <row r="108" spans="1:39">
      <c r="A108" s="7" t="s">
        <v>148</v>
      </c>
      <c r="B108" s="7" t="s">
        <v>150</v>
      </c>
      <c r="C108" s="8">
        <v>94910</v>
      </c>
      <c r="D108" s="8">
        <v>94910</v>
      </c>
      <c r="E108" s="8">
        <v>94910</v>
      </c>
      <c r="F108" s="8">
        <v>94910</v>
      </c>
      <c r="G108" s="8">
        <v>94910</v>
      </c>
      <c r="H108" s="8">
        <v>94910</v>
      </c>
      <c r="I108" s="8">
        <v>94910</v>
      </c>
      <c r="J108" s="8">
        <v>94910</v>
      </c>
      <c r="K108" s="8">
        <v>94910</v>
      </c>
      <c r="L108" s="8">
        <v>94910</v>
      </c>
      <c r="M108" s="8">
        <v>94910</v>
      </c>
      <c r="N108" s="8">
        <v>94910</v>
      </c>
      <c r="O108" s="8">
        <v>94910</v>
      </c>
      <c r="P108" s="8">
        <v>94910</v>
      </c>
      <c r="Q108" s="8">
        <v>94910</v>
      </c>
      <c r="R108" s="8">
        <v>94910</v>
      </c>
      <c r="S108" s="8">
        <v>94910</v>
      </c>
      <c r="T108" s="8">
        <v>94910</v>
      </c>
      <c r="U108" s="8">
        <v>94910</v>
      </c>
      <c r="V108" s="8">
        <v>94910</v>
      </c>
      <c r="W108" s="8">
        <v>94910</v>
      </c>
      <c r="X108" s="8">
        <v>94910</v>
      </c>
      <c r="Y108" s="8">
        <v>94910</v>
      </c>
      <c r="Z108" s="8">
        <v>94910</v>
      </c>
      <c r="AA108" s="8">
        <v>94910</v>
      </c>
      <c r="AB108" s="8">
        <v>94910</v>
      </c>
      <c r="AC108" s="8">
        <v>94910</v>
      </c>
      <c r="AD108" s="8">
        <v>94910</v>
      </c>
      <c r="AE108" s="8">
        <v>94910</v>
      </c>
      <c r="AF108" s="8">
        <v>94910</v>
      </c>
      <c r="AG108" s="8">
        <v>94910</v>
      </c>
      <c r="AH108" s="8">
        <v>94910</v>
      </c>
      <c r="AI108" s="8">
        <v>94910</v>
      </c>
      <c r="AJ108" s="8">
        <v>94910</v>
      </c>
      <c r="AK108" s="8">
        <v>94910</v>
      </c>
      <c r="AL108" s="8">
        <v>94910</v>
      </c>
      <c r="AM108" s="8">
        <v>94910</v>
      </c>
    </row>
    <row r="109" spans="1:39">
      <c r="A109" s="7" t="s">
        <v>148</v>
      </c>
      <c r="B109" s="7" t="s">
        <v>151</v>
      </c>
      <c r="C109" s="8">
        <v>-21333.68</v>
      </c>
      <c r="D109" s="8">
        <v>-23108.42</v>
      </c>
      <c r="E109" s="8">
        <v>-24883.16</v>
      </c>
      <c r="F109" s="8">
        <v>-26657.9</v>
      </c>
      <c r="G109" s="8">
        <v>-28432.639999999999</v>
      </c>
      <c r="H109" s="8">
        <v>-30207.38</v>
      </c>
      <c r="I109" s="8">
        <v>-31982.12</v>
      </c>
      <c r="J109" s="8">
        <v>-33756.86</v>
      </c>
      <c r="K109" s="8">
        <v>-35531.599999999999</v>
      </c>
      <c r="L109" s="8">
        <v>-37306.339999999997</v>
      </c>
      <c r="M109" s="8">
        <v>-39081.08</v>
      </c>
      <c r="N109" s="8">
        <v>-40855.82</v>
      </c>
      <c r="O109" s="8">
        <v>-42630.559999999998</v>
      </c>
      <c r="P109" s="8">
        <v>-44405.3</v>
      </c>
      <c r="Q109" s="8">
        <v>-46180.04</v>
      </c>
      <c r="R109" s="8">
        <v>-47954.78</v>
      </c>
      <c r="S109" s="8">
        <v>-49729.52</v>
      </c>
      <c r="T109" s="8">
        <v>-51504.26</v>
      </c>
      <c r="U109" s="8">
        <v>-53279</v>
      </c>
      <c r="V109" s="8">
        <v>-55053.74</v>
      </c>
      <c r="W109" s="8">
        <v>-56828.480000000003</v>
      </c>
      <c r="X109" s="8">
        <v>-58603.22</v>
      </c>
      <c r="Y109" s="8">
        <v>-60377.96</v>
      </c>
      <c r="Z109" s="8">
        <v>-62152.7</v>
      </c>
      <c r="AA109" s="8">
        <v>-63927.44</v>
      </c>
      <c r="AB109" s="8">
        <v>-65702.179999999993</v>
      </c>
      <c r="AC109" s="8">
        <v>-67476.92</v>
      </c>
      <c r="AD109" s="8">
        <v>-69251.66</v>
      </c>
      <c r="AE109" s="8">
        <v>-71026.399999999994</v>
      </c>
      <c r="AF109" s="8">
        <v>-72801.14</v>
      </c>
      <c r="AG109" s="8">
        <v>-74575.88</v>
      </c>
      <c r="AH109" s="8">
        <v>-76350.62</v>
      </c>
      <c r="AI109" s="8">
        <v>-78125.36</v>
      </c>
      <c r="AJ109" s="8">
        <v>-79900.100000000006</v>
      </c>
      <c r="AK109" s="8">
        <v>-81674.84</v>
      </c>
      <c r="AL109" s="8">
        <v>-83449.58</v>
      </c>
      <c r="AM109" s="8">
        <v>-85224.320000000007</v>
      </c>
    </row>
    <row r="110" spans="1:39">
      <c r="A110" s="5"/>
      <c r="B110" s="5" t="s">
        <v>152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</row>
    <row r="111" spans="1:39">
      <c r="A111" s="7" t="s">
        <v>153</v>
      </c>
      <c r="B111" s="7" t="s">
        <v>154</v>
      </c>
      <c r="C111" s="8">
        <v>3822.13</v>
      </c>
      <c r="D111" s="8">
        <v>9822.7800000000007</v>
      </c>
      <c r="E111" s="8">
        <v>4256.97</v>
      </c>
      <c r="F111" s="8">
        <v>6931.96</v>
      </c>
      <c r="G111" s="8">
        <v>8288.2999999999993</v>
      </c>
      <c r="H111" s="8">
        <v>9490.83</v>
      </c>
      <c r="I111" s="8">
        <v>8455.36</v>
      </c>
      <c r="J111" s="8">
        <v>10487.93</v>
      </c>
      <c r="K111" s="8">
        <v>7035.43</v>
      </c>
      <c r="L111" s="8">
        <v>13043.1</v>
      </c>
      <c r="M111" s="8">
        <v>4916.17</v>
      </c>
      <c r="N111" s="8">
        <v>12985.93</v>
      </c>
      <c r="O111" s="8">
        <v>15991.67</v>
      </c>
      <c r="P111" s="8">
        <v>13308.18</v>
      </c>
      <c r="Q111" s="8">
        <v>19058.64</v>
      </c>
      <c r="R111" s="8">
        <v>18194.53</v>
      </c>
      <c r="S111" s="8">
        <v>14433.16</v>
      </c>
      <c r="T111" s="8">
        <v>18645.59</v>
      </c>
      <c r="U111" s="8">
        <v>23156.91</v>
      </c>
      <c r="V111" s="8">
        <v>28182.92</v>
      </c>
      <c r="W111" s="8">
        <v>10457.9</v>
      </c>
      <c r="X111" s="8">
        <v>2996.84</v>
      </c>
      <c r="Y111" s="8">
        <v>22680.94</v>
      </c>
      <c r="Z111" s="8">
        <v>22644.28</v>
      </c>
      <c r="AA111" s="8">
        <v>27262.09</v>
      </c>
      <c r="AB111" s="8">
        <v>27325.26</v>
      </c>
      <c r="AC111" s="8">
        <v>13875.13</v>
      </c>
      <c r="AD111" s="8">
        <v>15354.42</v>
      </c>
      <c r="AE111" s="8">
        <v>9650.93</v>
      </c>
      <c r="AF111" s="8">
        <v>7136.83</v>
      </c>
      <c r="AG111" s="8">
        <v>11619.59</v>
      </c>
      <c r="AH111" s="8">
        <v>27699.69</v>
      </c>
      <c r="AI111" s="8">
        <v>15893.45</v>
      </c>
      <c r="AJ111" s="8">
        <v>20180.099999999999</v>
      </c>
      <c r="AK111" s="8">
        <v>37878.160000000003</v>
      </c>
      <c r="AL111" s="8">
        <v>27805.07</v>
      </c>
      <c r="AM111" s="8">
        <v>31315.54</v>
      </c>
    </row>
    <row r="112" spans="1:39">
      <c r="A112" s="7" t="s">
        <v>155</v>
      </c>
      <c r="B112" s="7" t="s">
        <v>156</v>
      </c>
      <c r="C112" s="8"/>
      <c r="D112" s="8">
        <v>11732.5</v>
      </c>
      <c r="E112" s="8">
        <v>2144</v>
      </c>
      <c r="F112" s="8">
        <v>2144</v>
      </c>
      <c r="G112" s="8">
        <v>2144</v>
      </c>
      <c r="H112" s="8"/>
      <c r="I112" s="8">
        <v>22704.13</v>
      </c>
      <c r="J112" s="8">
        <v>6693.13</v>
      </c>
      <c r="K112" s="8">
        <v>5523.25</v>
      </c>
      <c r="L112" s="8">
        <v>4825.88</v>
      </c>
      <c r="M112" s="8">
        <v>3010</v>
      </c>
      <c r="N112" s="8">
        <v>2500</v>
      </c>
      <c r="O112" s="8">
        <v>2500</v>
      </c>
      <c r="P112" s="8"/>
      <c r="Q112" s="8"/>
      <c r="R112" s="8"/>
      <c r="S112" s="8">
        <v>2750</v>
      </c>
      <c r="T112" s="8"/>
      <c r="U112" s="8">
        <v>10000</v>
      </c>
      <c r="V112" s="8">
        <v>10000</v>
      </c>
      <c r="W112" s="8"/>
      <c r="X112" s="8">
        <v>327.05</v>
      </c>
      <c r="Y112" s="8"/>
      <c r="Z112" s="8"/>
      <c r="AA112" s="8">
        <v>9871.26</v>
      </c>
      <c r="AB112" s="8">
        <v>4500</v>
      </c>
      <c r="AC112" s="8">
        <v>4500</v>
      </c>
      <c r="AD112" s="8">
        <v>19625</v>
      </c>
      <c r="AE112" s="8">
        <v>13430</v>
      </c>
      <c r="AF112" s="8">
        <v>21868.75</v>
      </c>
      <c r="AG112" s="8">
        <v>17880.900000000001</v>
      </c>
      <c r="AH112" s="8">
        <v>93387.5</v>
      </c>
      <c r="AI112" s="8">
        <v>7000</v>
      </c>
      <c r="AJ112" s="8">
        <v>26144.44</v>
      </c>
      <c r="AK112" s="8">
        <v>22196</v>
      </c>
      <c r="AL112" s="8">
        <v>4171</v>
      </c>
      <c r="AM112" s="8"/>
    </row>
    <row r="113" spans="1:39">
      <c r="A113" s="7" t="s">
        <v>157</v>
      </c>
      <c r="B113" s="7" t="s">
        <v>158</v>
      </c>
      <c r="C113" s="8">
        <v>3848.46</v>
      </c>
      <c r="D113" s="8">
        <v>4636.05</v>
      </c>
      <c r="E113" s="8">
        <v>5825.4</v>
      </c>
      <c r="F113" s="8">
        <v>7661.39</v>
      </c>
      <c r="G113" s="8">
        <v>7978.26</v>
      </c>
      <c r="H113" s="8">
        <v>8295.1299999999992</v>
      </c>
      <c r="I113" s="8">
        <v>8612</v>
      </c>
      <c r="J113" s="8">
        <v>8928.8700000000008</v>
      </c>
      <c r="K113" s="8">
        <v>9245.74</v>
      </c>
      <c r="L113" s="8">
        <v>9562.61</v>
      </c>
      <c r="M113" s="8">
        <v>9879.48</v>
      </c>
      <c r="N113" s="8">
        <v>10196.35</v>
      </c>
      <c r="O113" s="8">
        <v>10513.22</v>
      </c>
      <c r="P113" s="8">
        <v>10830.09</v>
      </c>
      <c r="Q113" s="8">
        <v>11306.27</v>
      </c>
      <c r="R113" s="8">
        <v>11623.14</v>
      </c>
      <c r="S113" s="8">
        <v>11844.74</v>
      </c>
      <c r="T113" s="8">
        <v>12061.44</v>
      </c>
      <c r="U113" s="8">
        <v>10908.3</v>
      </c>
      <c r="V113" s="8">
        <v>11118.09</v>
      </c>
      <c r="W113" s="8">
        <v>11327.88</v>
      </c>
      <c r="X113" s="8">
        <v>10512.2</v>
      </c>
      <c r="Y113" s="8">
        <v>11087.16</v>
      </c>
      <c r="Z113" s="8">
        <v>11772.18</v>
      </c>
      <c r="AA113" s="8">
        <v>15652.86</v>
      </c>
      <c r="AB113" s="8">
        <v>19598.400000000001</v>
      </c>
      <c r="AC113" s="8">
        <v>24626.67</v>
      </c>
      <c r="AD113" s="8">
        <v>29246.78</v>
      </c>
      <c r="AE113" s="8">
        <v>34436.1</v>
      </c>
      <c r="AF113" s="8">
        <v>40202.32</v>
      </c>
      <c r="AG113" s="8">
        <v>46481.59</v>
      </c>
      <c r="AH113" s="8">
        <v>52297.81</v>
      </c>
      <c r="AI113" s="8">
        <v>57593.85</v>
      </c>
      <c r="AJ113" s="8">
        <v>63561.55</v>
      </c>
      <c r="AK113" s="8">
        <v>69821.279999999999</v>
      </c>
      <c r="AL113" s="8">
        <v>75016.009999999995</v>
      </c>
      <c r="AM113" s="8">
        <v>77844.03</v>
      </c>
    </row>
    <row r="114" spans="1:39">
      <c r="A114" s="7" t="s">
        <v>157</v>
      </c>
      <c r="B114" s="7" t="s">
        <v>159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>
        <v>392.94</v>
      </c>
      <c r="S114" s="8">
        <v>392.94</v>
      </c>
      <c r="T114" s="8">
        <v>392.94</v>
      </c>
      <c r="U114" s="8">
        <v>392.94</v>
      </c>
      <c r="V114" s="8">
        <v>392.94</v>
      </c>
      <c r="W114" s="8">
        <v>392.94</v>
      </c>
      <c r="X114" s="8">
        <v>392.94</v>
      </c>
      <c r="Y114" s="8">
        <v>392.94</v>
      </c>
      <c r="Z114" s="8">
        <v>392.94</v>
      </c>
      <c r="AA114" s="8">
        <v>392.94</v>
      </c>
      <c r="AB114" s="8">
        <v>392.94</v>
      </c>
      <c r="AC114" s="8">
        <v>392.94</v>
      </c>
      <c r="AD114" s="8">
        <v>392.94</v>
      </c>
      <c r="AE114" s="8">
        <v>392.94</v>
      </c>
      <c r="AF114" s="8">
        <v>392.94</v>
      </c>
      <c r="AG114" s="8">
        <v>392.94</v>
      </c>
      <c r="AH114" s="8">
        <v>392.94</v>
      </c>
      <c r="AI114" s="8">
        <v>392.94</v>
      </c>
      <c r="AJ114" s="8">
        <v>392.94</v>
      </c>
      <c r="AK114" s="8">
        <v>392.94</v>
      </c>
      <c r="AL114" s="8">
        <v>392.94</v>
      </c>
      <c r="AM114" s="8">
        <v>392.94</v>
      </c>
    </row>
    <row r="115" spans="1:39">
      <c r="A115" s="7" t="s">
        <v>157</v>
      </c>
      <c r="B115" s="7" t="s">
        <v>160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>
        <v>2606.66</v>
      </c>
      <c r="AB115" s="8">
        <v>2080.41</v>
      </c>
      <c r="AC115" s="8">
        <v>1554.16</v>
      </c>
      <c r="AD115" s="8">
        <v>8194.58</v>
      </c>
      <c r="AE115" s="8">
        <v>7543.58</v>
      </c>
      <c r="AF115" s="8">
        <v>6892.33</v>
      </c>
      <c r="AG115" s="8">
        <v>6407.75</v>
      </c>
      <c r="AH115" s="8">
        <v>5923.17</v>
      </c>
      <c r="AI115" s="8">
        <v>5305.25</v>
      </c>
      <c r="AJ115" s="8">
        <v>4822.75</v>
      </c>
      <c r="AK115" s="8">
        <v>4340.25</v>
      </c>
      <c r="AL115" s="8">
        <v>3857.75</v>
      </c>
      <c r="AM115" s="8">
        <v>7475.25</v>
      </c>
    </row>
    <row r="116" spans="1:39">
      <c r="A116" s="7" t="s">
        <v>157</v>
      </c>
      <c r="B116" s="7" t="s">
        <v>161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>
        <v>8422</v>
      </c>
      <c r="AB116" s="8">
        <v>10619.07</v>
      </c>
      <c r="AC116" s="8">
        <v>11720.49</v>
      </c>
      <c r="AD116" s="8">
        <v>10775.49</v>
      </c>
      <c r="AE116" s="8">
        <v>10393.49</v>
      </c>
      <c r="AF116" s="8">
        <v>9448.49</v>
      </c>
      <c r="AG116" s="8">
        <v>7826.41</v>
      </c>
      <c r="AH116" s="8">
        <v>10697.39</v>
      </c>
      <c r="AI116" s="8">
        <v>11903.88</v>
      </c>
      <c r="AJ116" s="8">
        <v>15809.8</v>
      </c>
      <c r="AK116" s="8">
        <v>15089.05</v>
      </c>
      <c r="AL116" s="8">
        <v>14409.97</v>
      </c>
      <c r="AM116" s="8">
        <v>12542.89</v>
      </c>
    </row>
    <row r="117" spans="1:39">
      <c r="A117" s="7" t="s">
        <v>157</v>
      </c>
      <c r="B117" s="7" t="s">
        <v>162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>
        <v>142498.98000000001</v>
      </c>
      <c r="AB117" s="8">
        <v>127091.6</v>
      </c>
      <c r="AC117" s="8">
        <v>113725.89</v>
      </c>
      <c r="AD117" s="8">
        <v>142874.76</v>
      </c>
      <c r="AE117" s="8">
        <v>130707.17</v>
      </c>
      <c r="AF117" s="8">
        <v>117539.84</v>
      </c>
      <c r="AG117" s="8">
        <v>167332.46</v>
      </c>
      <c r="AH117" s="8">
        <v>165039.66</v>
      </c>
      <c r="AI117" s="8">
        <v>169621.03</v>
      </c>
      <c r="AJ117" s="8">
        <v>159109.03</v>
      </c>
      <c r="AK117" s="8">
        <v>150690.60999999999</v>
      </c>
      <c r="AL117" s="8">
        <v>135520.10999999999</v>
      </c>
      <c r="AM117" s="8">
        <v>141266.28</v>
      </c>
    </row>
    <row r="118" spans="1:39">
      <c r="A118" s="7" t="s">
        <v>157</v>
      </c>
      <c r="B118" s="7" t="s">
        <v>163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>
        <v>76543.78</v>
      </c>
      <c r="AB118" s="8">
        <v>73823.72</v>
      </c>
      <c r="AC118" s="8">
        <v>86894.33</v>
      </c>
      <c r="AD118" s="8">
        <v>87591.05</v>
      </c>
      <c r="AE118" s="8">
        <v>82161.83</v>
      </c>
      <c r="AF118" s="8">
        <v>88947.93</v>
      </c>
      <c r="AG118" s="8">
        <v>123530.84</v>
      </c>
      <c r="AH118" s="8">
        <v>157716.32999999999</v>
      </c>
      <c r="AI118" s="8">
        <v>144597.62</v>
      </c>
      <c r="AJ118" s="8">
        <v>152984.37</v>
      </c>
      <c r="AK118" s="8">
        <v>159898.70000000001</v>
      </c>
      <c r="AL118" s="8">
        <v>150309.69</v>
      </c>
      <c r="AM118" s="8">
        <v>139874.01999999999</v>
      </c>
    </row>
    <row r="119" spans="1:39">
      <c r="A119" s="7" t="s">
        <v>157</v>
      </c>
      <c r="B119" s="7" t="s">
        <v>164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>
        <v>20170.54</v>
      </c>
      <c r="AB119" s="8">
        <v>36574.75</v>
      </c>
      <c r="AC119" s="8">
        <v>32978.959999999999</v>
      </c>
      <c r="AD119" s="8">
        <v>29383.17</v>
      </c>
      <c r="AE119" s="8">
        <v>24954.04</v>
      </c>
      <c r="AF119" s="8">
        <v>20524.91</v>
      </c>
      <c r="AG119" s="8">
        <v>26095.78</v>
      </c>
      <c r="AH119" s="8">
        <v>21666.65</v>
      </c>
      <c r="AI119" s="8">
        <v>17916.650000000001</v>
      </c>
      <c r="AJ119" s="8">
        <v>14166.65</v>
      </c>
      <c r="AK119" s="8">
        <v>10833.32</v>
      </c>
      <c r="AL119" s="8">
        <v>8333.32</v>
      </c>
      <c r="AM119" s="8">
        <v>7499.99</v>
      </c>
    </row>
    <row r="120" spans="1:39">
      <c r="A120" s="7" t="s">
        <v>157</v>
      </c>
      <c r="B120" s="7" t="s">
        <v>165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>
        <v>1458.33</v>
      </c>
      <c r="AB120" s="8">
        <v>28666.66</v>
      </c>
      <c r="AC120" s="8">
        <v>25874.99</v>
      </c>
      <c r="AD120" s="8">
        <v>23083.32</v>
      </c>
      <c r="AE120" s="8">
        <v>20291.650000000001</v>
      </c>
      <c r="AF120" s="8">
        <v>17499.98</v>
      </c>
      <c r="AG120" s="8">
        <v>14999.98</v>
      </c>
      <c r="AH120" s="8">
        <v>12499.98</v>
      </c>
      <c r="AI120" s="8">
        <v>12749.06</v>
      </c>
      <c r="AJ120" s="8">
        <v>11187.14</v>
      </c>
      <c r="AK120" s="8">
        <v>7603.89</v>
      </c>
      <c r="AL120" s="8">
        <v>19020.64</v>
      </c>
      <c r="AM120" s="8">
        <v>14645.73</v>
      </c>
    </row>
    <row r="121" spans="1:39">
      <c r="A121" s="7" t="s">
        <v>157</v>
      </c>
      <c r="B121" s="7" t="s">
        <v>166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>
        <v>121156.25</v>
      </c>
      <c r="AB121" s="8">
        <v>103283.33</v>
      </c>
      <c r="AC121" s="8">
        <v>85077.08</v>
      </c>
      <c r="AD121" s="8">
        <v>66870.83</v>
      </c>
      <c r="AE121" s="8">
        <v>81652.08</v>
      </c>
      <c r="AF121" s="8">
        <v>57433.33</v>
      </c>
      <c r="AG121" s="8">
        <v>55458.33</v>
      </c>
      <c r="AH121" s="8">
        <v>61375</v>
      </c>
      <c r="AI121" s="8">
        <v>54125</v>
      </c>
      <c r="AJ121" s="8">
        <v>112708.33</v>
      </c>
      <c r="AK121" s="8">
        <v>130279.16</v>
      </c>
      <c r="AL121" s="8">
        <v>143766.66</v>
      </c>
      <c r="AM121" s="8">
        <v>149170.82999999999</v>
      </c>
    </row>
    <row r="122" spans="1:39">
      <c r="A122" s="7" t="s">
        <v>157</v>
      </c>
      <c r="B122" s="7" t="s">
        <v>167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>
        <v>213605.83</v>
      </c>
      <c r="AB122" s="8">
        <v>205903.33</v>
      </c>
      <c r="AC122" s="8">
        <v>198200.83</v>
      </c>
      <c r="AD122" s="8">
        <v>215906.66</v>
      </c>
      <c r="AE122" s="8">
        <v>184795.66</v>
      </c>
      <c r="AF122" s="8">
        <v>205984.66</v>
      </c>
      <c r="AG122" s="8">
        <v>235332.16</v>
      </c>
      <c r="AH122" s="8">
        <v>362314.83</v>
      </c>
      <c r="AI122" s="8">
        <v>372328.83</v>
      </c>
      <c r="AJ122" s="8">
        <v>327842.83</v>
      </c>
      <c r="AK122" s="8">
        <v>279856.90999999997</v>
      </c>
      <c r="AL122" s="8">
        <v>229370.99</v>
      </c>
      <c r="AM122" s="8">
        <v>201585.07</v>
      </c>
    </row>
    <row r="123" spans="1:39">
      <c r="A123" s="7" t="s">
        <v>157</v>
      </c>
      <c r="B123" s="7" t="s">
        <v>168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>
        <v>-199</v>
      </c>
      <c r="AK123" s="8">
        <v>-199</v>
      </c>
      <c r="AL123" s="8">
        <v>-199</v>
      </c>
      <c r="AM123" s="8">
        <v>-199</v>
      </c>
    </row>
    <row r="124" spans="1:39">
      <c r="A124" s="7" t="s">
        <v>157</v>
      </c>
      <c r="B124" s="7" t="s">
        <v>169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>
        <v>15000</v>
      </c>
      <c r="AF124" s="8">
        <v>15000</v>
      </c>
      <c r="AG124" s="8">
        <v>15000</v>
      </c>
      <c r="AH124" s="8">
        <v>15000</v>
      </c>
      <c r="AI124" s="8">
        <v>15000</v>
      </c>
      <c r="AJ124" s="8">
        <v>16500</v>
      </c>
      <c r="AK124" s="8">
        <v>16500</v>
      </c>
      <c r="AL124" s="8">
        <v>16500</v>
      </c>
      <c r="AM124" s="8">
        <v>16500</v>
      </c>
    </row>
    <row r="125" spans="1:39">
      <c r="A125" s="7" t="s">
        <v>157</v>
      </c>
      <c r="B125" s="7" t="s">
        <v>170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>
        <v>47666.66</v>
      </c>
      <c r="AB125" s="8">
        <v>46583.33</v>
      </c>
      <c r="AC125" s="8">
        <v>40500</v>
      </c>
      <c r="AD125" s="8">
        <v>39416.67</v>
      </c>
      <c r="AE125" s="8">
        <v>39416.67</v>
      </c>
      <c r="AF125" s="8">
        <v>39416.67</v>
      </c>
      <c r="AG125" s="8">
        <v>38333.339999999997</v>
      </c>
      <c r="AH125" s="8">
        <v>37250.01</v>
      </c>
      <c r="AI125" s="8">
        <v>36166.68</v>
      </c>
      <c r="AJ125" s="8">
        <v>35083.35</v>
      </c>
      <c r="AK125" s="8">
        <v>35083.35</v>
      </c>
      <c r="AL125" s="8">
        <v>35083.35</v>
      </c>
      <c r="AM125" s="8">
        <v>35083.35</v>
      </c>
    </row>
    <row r="126" spans="1:39">
      <c r="A126" s="5"/>
      <c r="B126" s="5" t="s">
        <v>171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spans="1:39">
      <c r="A127" s="7" t="s">
        <v>172</v>
      </c>
      <c r="B127" s="7" t="s">
        <v>173</v>
      </c>
      <c r="C127" s="8">
        <v>50000</v>
      </c>
      <c r="D127" s="8">
        <v>50000</v>
      </c>
      <c r="E127" s="8">
        <v>50000</v>
      </c>
      <c r="F127" s="8">
        <v>50000</v>
      </c>
      <c r="G127" s="8">
        <v>50000</v>
      </c>
      <c r="H127" s="8">
        <v>50000</v>
      </c>
      <c r="I127" s="8">
        <v>50000</v>
      </c>
      <c r="J127" s="8">
        <v>50000</v>
      </c>
      <c r="K127" s="8">
        <v>50000</v>
      </c>
      <c r="L127" s="8">
        <v>50000</v>
      </c>
      <c r="M127" s="8">
        <v>50000</v>
      </c>
      <c r="N127" s="8">
        <v>50000</v>
      </c>
      <c r="O127" s="8">
        <v>50000</v>
      </c>
      <c r="P127" s="8">
        <v>50000</v>
      </c>
      <c r="Q127" s="8">
        <v>50000</v>
      </c>
      <c r="R127" s="8">
        <v>50000</v>
      </c>
      <c r="S127" s="8">
        <v>50000</v>
      </c>
      <c r="T127" s="8">
        <v>50000</v>
      </c>
      <c r="U127" s="8">
        <v>50000</v>
      </c>
      <c r="V127" s="8">
        <v>50000</v>
      </c>
      <c r="W127" s="8">
        <v>50000</v>
      </c>
      <c r="X127" s="8">
        <v>50000</v>
      </c>
      <c r="Y127" s="8">
        <v>50000</v>
      </c>
      <c r="Z127" s="8">
        <v>50000</v>
      </c>
      <c r="AA127" s="8">
        <v>50000</v>
      </c>
      <c r="AB127" s="8">
        <v>50000</v>
      </c>
      <c r="AC127" s="8">
        <v>50000</v>
      </c>
      <c r="AD127" s="8">
        <v>50000</v>
      </c>
      <c r="AE127" s="8">
        <v>50000</v>
      </c>
      <c r="AF127" s="8">
        <v>50000</v>
      </c>
      <c r="AG127" s="8">
        <v>50000</v>
      </c>
      <c r="AH127" s="8">
        <v>50000</v>
      </c>
      <c r="AI127" s="8">
        <v>50000</v>
      </c>
      <c r="AJ127" s="8">
        <v>50000</v>
      </c>
      <c r="AK127" s="8">
        <v>50000</v>
      </c>
      <c r="AL127" s="8">
        <v>50000</v>
      </c>
      <c r="AM127" s="8">
        <v>50000</v>
      </c>
    </row>
    <row r="128" spans="1:39">
      <c r="A128" s="7" t="s">
        <v>172</v>
      </c>
      <c r="B128" s="7" t="s">
        <v>174</v>
      </c>
      <c r="C128" s="8">
        <v>50000</v>
      </c>
      <c r="D128" s="8">
        <v>50000</v>
      </c>
      <c r="E128" s="8">
        <v>50000</v>
      </c>
      <c r="F128" s="8">
        <v>50000</v>
      </c>
      <c r="G128" s="8">
        <v>50000</v>
      </c>
      <c r="H128" s="8">
        <v>50000</v>
      </c>
      <c r="I128" s="8">
        <v>50000</v>
      </c>
      <c r="J128" s="8">
        <v>50000</v>
      </c>
      <c r="K128" s="8">
        <v>50000</v>
      </c>
      <c r="L128" s="8">
        <v>50000</v>
      </c>
      <c r="M128" s="8">
        <v>50000</v>
      </c>
      <c r="N128" s="8">
        <v>50000</v>
      </c>
      <c r="O128" s="8">
        <v>50000</v>
      </c>
      <c r="P128" s="8">
        <v>50000</v>
      </c>
      <c r="Q128" s="8">
        <v>50000</v>
      </c>
      <c r="R128" s="8">
        <v>50000</v>
      </c>
      <c r="S128" s="8">
        <v>50000</v>
      </c>
      <c r="T128" s="8">
        <v>50000</v>
      </c>
      <c r="U128" s="8">
        <v>50000</v>
      </c>
      <c r="V128" s="8">
        <v>50000</v>
      </c>
      <c r="W128" s="8">
        <v>50000</v>
      </c>
      <c r="X128" s="8">
        <v>50000</v>
      </c>
      <c r="Y128" s="8">
        <v>50000</v>
      </c>
      <c r="Z128" s="8">
        <v>50000</v>
      </c>
      <c r="AA128" s="8">
        <v>50000</v>
      </c>
      <c r="AB128" s="8">
        <v>50000</v>
      </c>
      <c r="AC128" s="8">
        <v>50000</v>
      </c>
      <c r="AD128" s="8">
        <v>50000</v>
      </c>
      <c r="AE128" s="8">
        <v>50000</v>
      </c>
      <c r="AF128" s="8">
        <v>50000</v>
      </c>
      <c r="AG128" s="8">
        <v>50000</v>
      </c>
      <c r="AH128" s="8">
        <v>50000</v>
      </c>
      <c r="AI128" s="8">
        <v>50000</v>
      </c>
      <c r="AJ128" s="8">
        <v>50000</v>
      </c>
      <c r="AK128" s="8">
        <v>50000</v>
      </c>
      <c r="AL128" s="8">
        <v>50000</v>
      </c>
      <c r="AM128" s="8">
        <v>50000</v>
      </c>
    </row>
    <row r="129" spans="1:39">
      <c r="A129" s="5"/>
      <c r="B129" s="5" t="s">
        <v>175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</row>
    <row r="130" spans="1:39">
      <c r="A130" s="7" t="s">
        <v>176</v>
      </c>
      <c r="B130" s="7" t="s">
        <v>177</v>
      </c>
      <c r="C130" s="8">
        <v>25</v>
      </c>
      <c r="D130" s="8">
        <v>25</v>
      </c>
      <c r="E130" s="8">
        <v>25</v>
      </c>
      <c r="F130" s="8">
        <v>25</v>
      </c>
      <c r="G130" s="8">
        <v>25</v>
      </c>
      <c r="H130" s="8">
        <v>25</v>
      </c>
      <c r="I130" s="8">
        <v>25</v>
      </c>
      <c r="J130" s="8">
        <v>25</v>
      </c>
      <c r="K130" s="8">
        <v>25</v>
      </c>
      <c r="L130" s="8">
        <v>25</v>
      </c>
      <c r="M130" s="8">
        <v>25</v>
      </c>
      <c r="N130" s="8">
        <v>25</v>
      </c>
      <c r="O130" s="8">
        <v>25</v>
      </c>
      <c r="P130" s="8">
        <v>25</v>
      </c>
      <c r="Q130" s="8">
        <v>25</v>
      </c>
      <c r="R130" s="8">
        <v>25</v>
      </c>
      <c r="S130" s="8">
        <v>25</v>
      </c>
      <c r="T130" s="8">
        <v>25</v>
      </c>
      <c r="U130" s="8">
        <v>25</v>
      </c>
      <c r="V130" s="8">
        <v>25</v>
      </c>
      <c r="W130" s="8">
        <v>25</v>
      </c>
      <c r="X130" s="8">
        <v>25</v>
      </c>
      <c r="Y130" s="8">
        <v>25</v>
      </c>
      <c r="Z130" s="8">
        <v>25</v>
      </c>
      <c r="AA130" s="8">
        <v>25</v>
      </c>
      <c r="AB130" s="8">
        <v>25</v>
      </c>
      <c r="AC130" s="8">
        <v>25</v>
      </c>
      <c r="AD130" s="8">
        <v>25</v>
      </c>
      <c r="AE130" s="8">
        <v>25</v>
      </c>
      <c r="AF130" s="8">
        <v>25</v>
      </c>
      <c r="AG130" s="8">
        <v>25</v>
      </c>
      <c r="AH130" s="8">
        <v>25</v>
      </c>
      <c r="AI130" s="8">
        <v>25</v>
      </c>
      <c r="AJ130" s="8">
        <v>25</v>
      </c>
      <c r="AK130" s="8">
        <v>25</v>
      </c>
      <c r="AL130" s="8">
        <v>25</v>
      </c>
      <c r="AM130" s="8">
        <v>25</v>
      </c>
    </row>
    <row r="131" spans="1:39">
      <c r="A131" s="7" t="s">
        <v>176</v>
      </c>
      <c r="B131" s="7" t="s">
        <v>178</v>
      </c>
      <c r="C131" s="8">
        <v>25</v>
      </c>
      <c r="D131" s="8">
        <v>25</v>
      </c>
      <c r="E131" s="8">
        <v>25</v>
      </c>
      <c r="F131" s="8">
        <v>25</v>
      </c>
      <c r="G131" s="8">
        <v>25</v>
      </c>
      <c r="H131" s="8">
        <v>25</v>
      </c>
      <c r="I131" s="8">
        <v>25</v>
      </c>
      <c r="J131" s="8">
        <v>25</v>
      </c>
      <c r="K131" s="8">
        <v>25</v>
      </c>
      <c r="L131" s="8">
        <v>25</v>
      </c>
      <c r="M131" s="8">
        <v>25</v>
      </c>
      <c r="N131" s="8">
        <v>25</v>
      </c>
      <c r="O131" s="8">
        <v>25</v>
      </c>
      <c r="P131" s="8">
        <v>25</v>
      </c>
      <c r="Q131" s="8">
        <v>25</v>
      </c>
      <c r="R131" s="8">
        <v>25</v>
      </c>
      <c r="S131" s="8">
        <v>25</v>
      </c>
      <c r="T131" s="8">
        <v>25</v>
      </c>
      <c r="U131" s="8">
        <v>25</v>
      </c>
      <c r="V131" s="8">
        <v>25</v>
      </c>
      <c r="W131" s="8">
        <v>25</v>
      </c>
      <c r="X131" s="8">
        <v>25</v>
      </c>
      <c r="Y131" s="8">
        <v>25</v>
      </c>
      <c r="Z131" s="8">
        <v>25</v>
      </c>
      <c r="AA131" s="8">
        <v>25</v>
      </c>
      <c r="AB131" s="8">
        <v>25</v>
      </c>
      <c r="AC131" s="8">
        <v>25</v>
      </c>
      <c r="AD131" s="8">
        <v>25</v>
      </c>
      <c r="AE131" s="8">
        <v>25</v>
      </c>
      <c r="AF131" s="8">
        <v>25</v>
      </c>
      <c r="AG131" s="8">
        <v>25</v>
      </c>
      <c r="AH131" s="8">
        <v>25</v>
      </c>
      <c r="AI131" s="8">
        <v>25</v>
      </c>
      <c r="AJ131" s="8">
        <v>25</v>
      </c>
      <c r="AK131" s="8">
        <v>25</v>
      </c>
      <c r="AL131" s="8">
        <v>25</v>
      </c>
      <c r="AM131" s="8">
        <v>25</v>
      </c>
    </row>
    <row r="132" spans="1:39">
      <c r="A132" s="7" t="s">
        <v>176</v>
      </c>
      <c r="B132" s="7" t="s">
        <v>179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spans="1:39">
      <c r="A133" s="7" t="s">
        <v>176</v>
      </c>
      <c r="B133" s="7" t="s">
        <v>180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spans="1:39">
      <c r="A134" s="7" t="s">
        <v>176</v>
      </c>
      <c r="B134" s="7" t="s">
        <v>181</v>
      </c>
      <c r="C134" s="8">
        <v>24975</v>
      </c>
      <c r="D134" s="8">
        <v>24975</v>
      </c>
      <c r="E134" s="8">
        <v>24975</v>
      </c>
      <c r="F134" s="8">
        <v>24975</v>
      </c>
      <c r="G134" s="8">
        <v>24975</v>
      </c>
      <c r="H134" s="8">
        <v>24975</v>
      </c>
      <c r="I134" s="8">
        <v>24975</v>
      </c>
      <c r="J134" s="8">
        <v>24975</v>
      </c>
      <c r="K134" s="8">
        <v>24975</v>
      </c>
      <c r="L134" s="8">
        <v>24975</v>
      </c>
      <c r="M134" s="8">
        <v>24975</v>
      </c>
      <c r="N134" s="8">
        <v>24975</v>
      </c>
      <c r="O134" s="8">
        <v>24975</v>
      </c>
      <c r="P134" s="8">
        <v>24975</v>
      </c>
      <c r="Q134" s="8">
        <v>24975</v>
      </c>
      <c r="R134" s="8">
        <v>24975</v>
      </c>
      <c r="S134" s="8">
        <v>24975</v>
      </c>
      <c r="T134" s="8">
        <v>24975</v>
      </c>
      <c r="U134" s="8">
        <v>24975</v>
      </c>
      <c r="V134" s="8">
        <v>24975</v>
      </c>
      <c r="W134" s="8">
        <v>24975</v>
      </c>
      <c r="X134" s="8">
        <v>24975</v>
      </c>
      <c r="Y134" s="8">
        <v>24975</v>
      </c>
      <c r="Z134" s="8">
        <v>24975</v>
      </c>
      <c r="AA134" s="8">
        <v>24975</v>
      </c>
      <c r="AB134" s="8">
        <v>24975</v>
      </c>
      <c r="AC134" s="8">
        <v>24975</v>
      </c>
      <c r="AD134" s="8">
        <v>24975</v>
      </c>
      <c r="AE134" s="8">
        <v>24975</v>
      </c>
      <c r="AF134" s="8">
        <v>24975</v>
      </c>
      <c r="AG134" s="8">
        <v>24975</v>
      </c>
      <c r="AH134" s="8">
        <v>24975</v>
      </c>
      <c r="AI134" s="8">
        <v>24975</v>
      </c>
      <c r="AJ134" s="8">
        <v>24975</v>
      </c>
      <c r="AK134" s="8">
        <v>24975</v>
      </c>
      <c r="AL134" s="8">
        <v>24975</v>
      </c>
      <c r="AM134" s="8">
        <v>24975</v>
      </c>
    </row>
    <row r="135" spans="1:39">
      <c r="A135" s="7" t="s">
        <v>176</v>
      </c>
      <c r="B135" s="7" t="s">
        <v>182</v>
      </c>
      <c r="C135" s="8">
        <v>24975</v>
      </c>
      <c r="D135" s="8">
        <v>24975</v>
      </c>
      <c r="E135" s="8">
        <v>24975</v>
      </c>
      <c r="F135" s="8">
        <v>24975</v>
      </c>
      <c r="G135" s="8">
        <v>24975</v>
      </c>
      <c r="H135" s="8">
        <v>24975</v>
      </c>
      <c r="I135" s="8">
        <v>24975</v>
      </c>
      <c r="J135" s="8">
        <v>24975</v>
      </c>
      <c r="K135" s="8">
        <v>24975</v>
      </c>
      <c r="L135" s="8">
        <v>24975</v>
      </c>
      <c r="M135" s="8">
        <v>24975</v>
      </c>
      <c r="N135" s="8">
        <v>24975</v>
      </c>
      <c r="O135" s="8">
        <v>24975</v>
      </c>
      <c r="P135" s="8">
        <v>24975</v>
      </c>
      <c r="Q135" s="8">
        <v>24975</v>
      </c>
      <c r="R135" s="8">
        <v>24975</v>
      </c>
      <c r="S135" s="8">
        <v>24975</v>
      </c>
      <c r="T135" s="8">
        <v>24975</v>
      </c>
      <c r="U135" s="8">
        <v>24975</v>
      </c>
      <c r="V135" s="8">
        <v>24975</v>
      </c>
      <c r="W135" s="8">
        <v>24975</v>
      </c>
      <c r="X135" s="8">
        <v>24975</v>
      </c>
      <c r="Y135" s="8">
        <v>24975</v>
      </c>
      <c r="Z135" s="8">
        <v>24975</v>
      </c>
      <c r="AA135" s="8">
        <v>24975</v>
      </c>
      <c r="AB135" s="8">
        <v>24975</v>
      </c>
      <c r="AC135" s="8">
        <v>24975</v>
      </c>
      <c r="AD135" s="8">
        <v>24975</v>
      </c>
      <c r="AE135" s="8">
        <v>24975</v>
      </c>
      <c r="AF135" s="8">
        <v>24975</v>
      </c>
      <c r="AG135" s="8">
        <v>24975</v>
      </c>
      <c r="AH135" s="8">
        <v>24975</v>
      </c>
      <c r="AI135" s="8">
        <v>24975</v>
      </c>
      <c r="AJ135" s="8">
        <v>24975</v>
      </c>
      <c r="AK135" s="8">
        <v>24975</v>
      </c>
      <c r="AL135" s="8">
        <v>24975</v>
      </c>
      <c r="AM135" s="8">
        <v>24975</v>
      </c>
    </row>
    <row r="136" spans="1:39">
      <c r="A136" s="7" t="s">
        <v>176</v>
      </c>
      <c r="B136" s="7" t="s">
        <v>183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>
        <v>50000</v>
      </c>
      <c r="Y136" s="8">
        <v>50000</v>
      </c>
      <c r="Z136" s="8">
        <v>50000</v>
      </c>
      <c r="AA136" s="8">
        <v>50000</v>
      </c>
      <c r="AB136" s="8">
        <v>50000</v>
      </c>
      <c r="AC136" s="8">
        <v>50000</v>
      </c>
      <c r="AD136" s="8">
        <v>50000</v>
      </c>
      <c r="AE136" s="8">
        <v>50000</v>
      </c>
      <c r="AF136" s="8">
        <v>50000</v>
      </c>
      <c r="AG136" s="8">
        <v>50000</v>
      </c>
      <c r="AH136" s="8">
        <v>50000</v>
      </c>
      <c r="AI136" s="8">
        <v>50000</v>
      </c>
      <c r="AJ136" s="8">
        <v>50000</v>
      </c>
      <c r="AK136" s="8">
        <v>50000</v>
      </c>
      <c r="AL136" s="8">
        <v>50000</v>
      </c>
      <c r="AM136" s="8">
        <v>50000</v>
      </c>
    </row>
    <row r="137" spans="1:39">
      <c r="A137" s="7" t="s">
        <v>176</v>
      </c>
      <c r="B137" s="7" t="s">
        <v>184</v>
      </c>
      <c r="C137" s="8">
        <v>50000</v>
      </c>
      <c r="D137" s="8">
        <v>50000</v>
      </c>
      <c r="E137" s="8">
        <v>50000</v>
      </c>
      <c r="F137" s="8">
        <v>50000</v>
      </c>
      <c r="G137" s="8">
        <v>50000</v>
      </c>
      <c r="H137" s="8">
        <v>50000</v>
      </c>
      <c r="I137" s="8">
        <v>50000</v>
      </c>
      <c r="J137" s="8">
        <v>50000</v>
      </c>
      <c r="K137" s="8">
        <v>50000</v>
      </c>
      <c r="L137" s="8">
        <v>50000</v>
      </c>
      <c r="M137" s="8">
        <v>50000</v>
      </c>
      <c r="N137" s="8">
        <v>50000</v>
      </c>
      <c r="O137" s="8">
        <v>50000</v>
      </c>
      <c r="P137" s="8">
        <v>50000</v>
      </c>
      <c r="Q137" s="8">
        <v>50000</v>
      </c>
      <c r="R137" s="8">
        <v>50000</v>
      </c>
      <c r="S137" s="8">
        <v>50000</v>
      </c>
      <c r="T137" s="8">
        <v>50000</v>
      </c>
      <c r="U137" s="8">
        <v>50000</v>
      </c>
      <c r="V137" s="8">
        <v>50000</v>
      </c>
      <c r="W137" s="8">
        <v>50000</v>
      </c>
      <c r="X137" s="8">
        <v>50000</v>
      </c>
      <c r="Y137" s="8">
        <v>50000</v>
      </c>
      <c r="Z137" s="8">
        <v>50000</v>
      </c>
      <c r="AA137" s="8">
        <v>50000</v>
      </c>
      <c r="AB137" s="8">
        <v>50000</v>
      </c>
      <c r="AC137" s="8">
        <v>50000</v>
      </c>
      <c r="AD137" s="8">
        <v>50000</v>
      </c>
      <c r="AE137" s="8">
        <v>50000</v>
      </c>
      <c r="AF137" s="8">
        <v>50000</v>
      </c>
      <c r="AG137" s="8">
        <v>50000</v>
      </c>
      <c r="AH137" s="8">
        <v>50000</v>
      </c>
      <c r="AI137" s="8">
        <v>50000</v>
      </c>
      <c r="AJ137" s="8">
        <v>50000</v>
      </c>
      <c r="AK137" s="8">
        <v>50000</v>
      </c>
      <c r="AL137" s="8">
        <v>50000</v>
      </c>
      <c r="AM137" s="8">
        <v>50000</v>
      </c>
    </row>
    <row r="138" spans="1:39">
      <c r="A138" s="7" t="s">
        <v>176</v>
      </c>
      <c r="B138" s="7" t="s">
        <v>185</v>
      </c>
      <c r="C138" s="8">
        <v>50000</v>
      </c>
      <c r="D138" s="8">
        <v>50000</v>
      </c>
      <c r="E138" s="8">
        <v>50000</v>
      </c>
      <c r="F138" s="8">
        <v>50000</v>
      </c>
      <c r="G138" s="8">
        <v>50000</v>
      </c>
      <c r="H138" s="8">
        <v>50000</v>
      </c>
      <c r="I138" s="8">
        <v>50000</v>
      </c>
      <c r="J138" s="8">
        <v>50000</v>
      </c>
      <c r="K138" s="8">
        <v>50000</v>
      </c>
      <c r="L138" s="8">
        <v>50000</v>
      </c>
      <c r="M138" s="8">
        <v>50000</v>
      </c>
      <c r="N138" s="8">
        <v>50000</v>
      </c>
      <c r="O138" s="8">
        <v>50000</v>
      </c>
      <c r="P138" s="8">
        <v>50000</v>
      </c>
      <c r="Q138" s="8">
        <v>50000</v>
      </c>
      <c r="R138" s="8">
        <v>50000</v>
      </c>
      <c r="S138" s="8">
        <v>50000</v>
      </c>
      <c r="T138" s="8">
        <v>50000</v>
      </c>
      <c r="U138" s="8">
        <v>50000</v>
      </c>
      <c r="V138" s="8">
        <v>50000</v>
      </c>
      <c r="W138" s="8">
        <v>50000</v>
      </c>
      <c r="X138" s="8">
        <v>50000</v>
      </c>
      <c r="Y138" s="8">
        <v>50000</v>
      </c>
      <c r="Z138" s="8">
        <v>50000</v>
      </c>
      <c r="AA138" s="8">
        <v>50000</v>
      </c>
      <c r="AB138" s="8">
        <v>50000</v>
      </c>
      <c r="AC138" s="8">
        <v>50000</v>
      </c>
      <c r="AD138" s="8">
        <v>50000</v>
      </c>
      <c r="AE138" s="8">
        <v>50000</v>
      </c>
      <c r="AF138" s="8">
        <v>50000</v>
      </c>
      <c r="AG138" s="8">
        <v>50000</v>
      </c>
      <c r="AH138" s="8">
        <v>50000</v>
      </c>
      <c r="AI138" s="8">
        <v>50000</v>
      </c>
      <c r="AJ138" s="8">
        <v>50000</v>
      </c>
      <c r="AK138" s="8">
        <v>50000</v>
      </c>
      <c r="AL138" s="8">
        <v>50000</v>
      </c>
      <c r="AM138" s="8">
        <v>50000</v>
      </c>
    </row>
    <row r="139" spans="1:39">
      <c r="A139" s="7" t="s">
        <v>176</v>
      </c>
      <c r="B139" s="7" t="s">
        <v>186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>
        <v>15000</v>
      </c>
      <c r="Y139" s="8">
        <v>15000</v>
      </c>
      <c r="Z139" s="8">
        <v>15000</v>
      </c>
      <c r="AA139" s="8">
        <v>15000</v>
      </c>
      <c r="AB139" s="8">
        <v>15000</v>
      </c>
      <c r="AC139" s="8">
        <v>15000</v>
      </c>
      <c r="AD139" s="8">
        <v>15000</v>
      </c>
      <c r="AE139" s="8">
        <v>15000</v>
      </c>
      <c r="AF139" s="8">
        <v>15000</v>
      </c>
      <c r="AG139" s="8">
        <v>15000</v>
      </c>
      <c r="AH139" s="8">
        <v>15000</v>
      </c>
      <c r="AI139" s="8">
        <v>15000</v>
      </c>
      <c r="AJ139" s="8">
        <v>15000</v>
      </c>
      <c r="AK139" s="8">
        <v>15000</v>
      </c>
      <c r="AL139" s="8">
        <v>15000</v>
      </c>
      <c r="AM139" s="8">
        <v>15000</v>
      </c>
    </row>
    <row r="140" spans="1:39">
      <c r="A140" s="7" t="s">
        <v>176</v>
      </c>
      <c r="B140" s="7" t="s">
        <v>187</v>
      </c>
      <c r="C140" s="8">
        <v>500000</v>
      </c>
      <c r="D140" s="8">
        <v>500000</v>
      </c>
      <c r="E140" s="8">
        <v>500000</v>
      </c>
      <c r="F140" s="8">
        <v>500000</v>
      </c>
      <c r="G140" s="8">
        <v>500000</v>
      </c>
      <c r="H140" s="8">
        <v>500000</v>
      </c>
      <c r="I140" s="8">
        <v>500000</v>
      </c>
      <c r="J140" s="8">
        <v>500000</v>
      </c>
      <c r="K140" s="8">
        <v>500000</v>
      </c>
      <c r="L140" s="8">
        <v>500000</v>
      </c>
      <c r="M140" s="8">
        <v>500000</v>
      </c>
      <c r="N140" s="8">
        <v>500000</v>
      </c>
      <c r="O140" s="8">
        <v>500000</v>
      </c>
      <c r="P140" s="8">
        <v>500000</v>
      </c>
      <c r="Q140" s="8">
        <v>500000</v>
      </c>
      <c r="R140" s="8">
        <v>500000</v>
      </c>
      <c r="S140" s="8">
        <v>500000</v>
      </c>
      <c r="T140" s="8">
        <v>500000</v>
      </c>
      <c r="U140" s="8">
        <v>500000</v>
      </c>
      <c r="V140" s="8">
        <v>500000</v>
      </c>
      <c r="W140" s="8">
        <v>500000</v>
      </c>
      <c r="X140" s="8">
        <v>500000</v>
      </c>
      <c r="Y140" s="8">
        <v>500000</v>
      </c>
      <c r="Z140" s="8">
        <v>500000</v>
      </c>
      <c r="AA140" s="8">
        <v>500000</v>
      </c>
      <c r="AB140" s="8">
        <v>500000</v>
      </c>
      <c r="AC140" s="8">
        <v>500000</v>
      </c>
      <c r="AD140" s="8">
        <v>500000</v>
      </c>
      <c r="AE140" s="8">
        <v>500000</v>
      </c>
      <c r="AF140" s="8">
        <v>500000</v>
      </c>
      <c r="AG140" s="8">
        <v>500000</v>
      </c>
      <c r="AH140" s="8">
        <v>500000</v>
      </c>
      <c r="AI140" s="8">
        <v>500000</v>
      </c>
      <c r="AJ140" s="8">
        <v>500000</v>
      </c>
      <c r="AK140" s="8">
        <v>500000</v>
      </c>
      <c r="AL140" s="8">
        <v>500000</v>
      </c>
      <c r="AM140" s="8">
        <v>500000</v>
      </c>
    </row>
    <row r="141" spans="1:39">
      <c r="A141" s="7" t="s">
        <v>176</v>
      </c>
      <c r="B141" s="7" t="s">
        <v>188</v>
      </c>
      <c r="C141" s="8">
        <v>100000</v>
      </c>
      <c r="D141" s="8">
        <v>100000</v>
      </c>
      <c r="E141" s="8">
        <v>100000</v>
      </c>
      <c r="F141" s="8">
        <v>100000</v>
      </c>
      <c r="G141" s="8">
        <v>100000</v>
      </c>
      <c r="H141" s="8">
        <v>100000</v>
      </c>
      <c r="I141" s="8">
        <v>100000</v>
      </c>
      <c r="J141" s="8">
        <v>100000</v>
      </c>
      <c r="K141" s="8">
        <v>100000</v>
      </c>
      <c r="L141" s="8">
        <v>100000</v>
      </c>
      <c r="M141" s="8">
        <v>100000</v>
      </c>
      <c r="N141" s="8">
        <v>100000</v>
      </c>
      <c r="O141" s="8">
        <v>100000</v>
      </c>
      <c r="P141" s="8">
        <v>100000</v>
      </c>
      <c r="Q141" s="8">
        <v>100000</v>
      </c>
      <c r="R141" s="8">
        <v>100000</v>
      </c>
      <c r="S141" s="8">
        <v>100000</v>
      </c>
      <c r="T141" s="8">
        <v>100000</v>
      </c>
      <c r="U141" s="8">
        <v>100000</v>
      </c>
      <c r="V141" s="8">
        <v>100000</v>
      </c>
      <c r="W141" s="8">
        <v>100000</v>
      </c>
      <c r="X141" s="8">
        <v>100000</v>
      </c>
      <c r="Y141" s="8">
        <v>100000</v>
      </c>
      <c r="Z141" s="8">
        <v>100000</v>
      </c>
      <c r="AA141" s="8">
        <v>100000</v>
      </c>
      <c r="AB141" s="8">
        <v>100000</v>
      </c>
      <c r="AC141" s="8">
        <v>100000</v>
      </c>
      <c r="AD141" s="8">
        <v>100000</v>
      </c>
      <c r="AE141" s="8">
        <v>100000</v>
      </c>
      <c r="AF141" s="8">
        <v>100000</v>
      </c>
      <c r="AG141" s="8">
        <v>100000</v>
      </c>
      <c r="AH141" s="8">
        <v>100000</v>
      </c>
      <c r="AI141" s="8">
        <v>100000</v>
      </c>
      <c r="AJ141" s="8">
        <v>100000</v>
      </c>
      <c r="AK141" s="8">
        <v>100000</v>
      </c>
      <c r="AL141" s="8">
        <v>100000</v>
      </c>
      <c r="AM141" s="8">
        <v>100000</v>
      </c>
    </row>
    <row r="142" spans="1:39">
      <c r="A142" s="7" t="s">
        <v>176</v>
      </c>
      <c r="B142" s="7" t="s">
        <v>189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>
        <v>20000</v>
      </c>
      <c r="Y142" s="8">
        <v>20000</v>
      </c>
      <c r="Z142" s="8">
        <v>20000</v>
      </c>
      <c r="AA142" s="8">
        <v>20000</v>
      </c>
      <c r="AB142" s="8">
        <v>20000</v>
      </c>
      <c r="AC142" s="8">
        <v>20000</v>
      </c>
      <c r="AD142" s="8">
        <v>20000</v>
      </c>
      <c r="AE142" s="8">
        <v>20000</v>
      </c>
      <c r="AF142" s="8">
        <v>20000</v>
      </c>
      <c r="AG142" s="8">
        <v>20000</v>
      </c>
      <c r="AH142" s="8">
        <v>20000</v>
      </c>
      <c r="AI142" s="8">
        <v>20000</v>
      </c>
      <c r="AJ142" s="8">
        <v>20000</v>
      </c>
      <c r="AK142" s="8">
        <v>20000</v>
      </c>
      <c r="AL142" s="8">
        <v>20000</v>
      </c>
      <c r="AM142" s="8">
        <v>20000</v>
      </c>
    </row>
    <row r="143" spans="1:39">
      <c r="A143" s="7" t="s">
        <v>176</v>
      </c>
      <c r="B143" s="7" t="s">
        <v>190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>
        <v>21000</v>
      </c>
      <c r="AJ143" s="8">
        <v>21000</v>
      </c>
      <c r="AK143" s="8">
        <v>21000</v>
      </c>
      <c r="AL143" s="8">
        <v>21000</v>
      </c>
      <c r="AM143" s="8">
        <v>21000</v>
      </c>
    </row>
    <row r="144" spans="1:39">
      <c r="A144" s="7" t="s">
        <v>176</v>
      </c>
      <c r="B144" s="7" t="s">
        <v>191</v>
      </c>
      <c r="C144" s="8">
        <v>100000</v>
      </c>
      <c r="D144" s="8">
        <v>100000</v>
      </c>
      <c r="E144" s="8">
        <v>100000</v>
      </c>
      <c r="F144" s="8">
        <v>100000</v>
      </c>
      <c r="G144" s="8">
        <v>100000</v>
      </c>
      <c r="H144" s="8">
        <v>100000</v>
      </c>
      <c r="I144" s="8">
        <v>100000</v>
      </c>
      <c r="J144" s="8">
        <v>100000</v>
      </c>
      <c r="K144" s="8">
        <v>100000</v>
      </c>
      <c r="L144" s="8">
        <v>100000</v>
      </c>
      <c r="M144" s="8">
        <v>100000</v>
      </c>
      <c r="N144" s="8">
        <v>100000</v>
      </c>
      <c r="O144" s="8">
        <v>100000</v>
      </c>
      <c r="P144" s="8">
        <v>100000</v>
      </c>
      <c r="Q144" s="8">
        <v>100000</v>
      </c>
      <c r="R144" s="8">
        <v>100000</v>
      </c>
      <c r="S144" s="8">
        <v>100000</v>
      </c>
      <c r="T144" s="8">
        <v>100000</v>
      </c>
      <c r="U144" s="8">
        <v>100000</v>
      </c>
      <c r="V144" s="8">
        <v>100000</v>
      </c>
      <c r="W144" s="8">
        <v>100000</v>
      </c>
      <c r="X144" s="8">
        <v>100000</v>
      </c>
      <c r="Y144" s="8">
        <v>100000</v>
      </c>
      <c r="Z144" s="8">
        <v>100000</v>
      </c>
      <c r="AA144" s="8">
        <v>100000</v>
      </c>
      <c r="AB144" s="8">
        <v>100000</v>
      </c>
      <c r="AC144" s="8">
        <v>100000</v>
      </c>
      <c r="AD144" s="8">
        <v>100000</v>
      </c>
      <c r="AE144" s="8">
        <v>100000</v>
      </c>
      <c r="AF144" s="8">
        <v>100000</v>
      </c>
      <c r="AG144" s="8">
        <v>100000</v>
      </c>
      <c r="AH144" s="8">
        <v>100000</v>
      </c>
      <c r="AI144" s="8">
        <v>100000</v>
      </c>
      <c r="AJ144" s="8">
        <v>100000</v>
      </c>
      <c r="AK144" s="8">
        <v>100000</v>
      </c>
      <c r="AL144" s="8">
        <v>100000</v>
      </c>
      <c r="AM144" s="8">
        <v>100000</v>
      </c>
    </row>
    <row r="145" spans="1:39">
      <c r="A145" s="7" t="s">
        <v>176</v>
      </c>
      <c r="B145" s="7" t="s">
        <v>192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>
        <v>100000</v>
      </c>
      <c r="O145" s="8">
        <v>100000</v>
      </c>
      <c r="P145" s="8">
        <v>100000</v>
      </c>
      <c r="Q145" s="8">
        <v>100000</v>
      </c>
      <c r="R145" s="8">
        <v>100000</v>
      </c>
      <c r="S145" s="8">
        <v>100000</v>
      </c>
      <c r="T145" s="8">
        <v>100000</v>
      </c>
      <c r="U145" s="8">
        <v>100000</v>
      </c>
      <c r="V145" s="8">
        <v>100000</v>
      </c>
      <c r="W145" s="8">
        <v>100000</v>
      </c>
      <c r="X145" s="8">
        <v>100000</v>
      </c>
      <c r="Y145" s="8">
        <v>100000</v>
      </c>
      <c r="Z145" s="8">
        <v>100000</v>
      </c>
      <c r="AA145" s="8">
        <v>100000</v>
      </c>
      <c r="AB145" s="8">
        <v>100000</v>
      </c>
      <c r="AC145" s="8">
        <v>100000</v>
      </c>
      <c r="AD145" s="8">
        <v>100000</v>
      </c>
      <c r="AE145" s="8">
        <v>100000</v>
      </c>
      <c r="AF145" s="8">
        <v>100000</v>
      </c>
      <c r="AG145" s="8">
        <v>100000</v>
      </c>
      <c r="AH145" s="8">
        <v>100000</v>
      </c>
      <c r="AI145" s="8">
        <v>100000</v>
      </c>
      <c r="AJ145" s="8">
        <v>100000</v>
      </c>
      <c r="AK145" s="8">
        <v>100000</v>
      </c>
      <c r="AL145" s="8">
        <v>100000</v>
      </c>
      <c r="AM145" s="8">
        <v>100000</v>
      </c>
    </row>
    <row r="146" spans="1:39">
      <c r="A146" s="7" t="s">
        <v>176</v>
      </c>
      <c r="B146" s="7" t="s">
        <v>193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>
        <v>20000</v>
      </c>
      <c r="Y146" s="8">
        <v>20000</v>
      </c>
      <c r="Z146" s="8">
        <v>20000</v>
      </c>
      <c r="AA146" s="8">
        <v>20000</v>
      </c>
      <c r="AB146" s="8">
        <v>20000</v>
      </c>
      <c r="AC146" s="8">
        <v>20000</v>
      </c>
      <c r="AD146" s="8">
        <v>20000</v>
      </c>
      <c r="AE146" s="8">
        <v>20000</v>
      </c>
      <c r="AF146" s="8">
        <v>20000</v>
      </c>
      <c r="AG146" s="8">
        <v>20000</v>
      </c>
      <c r="AH146" s="8">
        <v>20000</v>
      </c>
      <c r="AI146" s="8">
        <v>20000</v>
      </c>
      <c r="AJ146" s="8">
        <v>20000</v>
      </c>
      <c r="AK146" s="8">
        <v>20000</v>
      </c>
      <c r="AL146" s="8">
        <v>20000</v>
      </c>
      <c r="AM146" s="8">
        <v>20000</v>
      </c>
    </row>
    <row r="147" spans="1:39">
      <c r="A147" s="7" t="s">
        <v>176</v>
      </c>
      <c r="B147" s="7" t="s">
        <v>194</v>
      </c>
      <c r="C147" s="8">
        <v>25000</v>
      </c>
      <c r="D147" s="8">
        <v>25000</v>
      </c>
      <c r="E147" s="8">
        <v>25000</v>
      </c>
      <c r="F147" s="8">
        <v>25000</v>
      </c>
      <c r="G147" s="8">
        <v>25000</v>
      </c>
      <c r="H147" s="8">
        <v>25000</v>
      </c>
      <c r="I147" s="8">
        <v>25000</v>
      </c>
      <c r="J147" s="8">
        <v>25000</v>
      </c>
      <c r="K147" s="8">
        <v>25000</v>
      </c>
      <c r="L147" s="8">
        <v>25000</v>
      </c>
      <c r="M147" s="8">
        <v>25000</v>
      </c>
      <c r="N147" s="8">
        <v>25000</v>
      </c>
      <c r="O147" s="8">
        <v>25000</v>
      </c>
      <c r="P147" s="8">
        <v>25000</v>
      </c>
      <c r="Q147" s="8">
        <v>25000</v>
      </c>
      <c r="R147" s="8">
        <v>25000</v>
      </c>
      <c r="S147" s="8">
        <v>25000</v>
      </c>
      <c r="T147" s="8">
        <v>25000</v>
      </c>
      <c r="U147" s="8">
        <v>25000</v>
      </c>
      <c r="V147" s="8">
        <v>25000</v>
      </c>
      <c r="W147" s="8">
        <v>25000</v>
      </c>
      <c r="X147" s="8">
        <v>25000</v>
      </c>
      <c r="Y147" s="8">
        <v>25000</v>
      </c>
      <c r="Z147" s="8">
        <v>25000</v>
      </c>
      <c r="AA147" s="8">
        <v>25000</v>
      </c>
      <c r="AB147" s="8">
        <v>25000</v>
      </c>
      <c r="AC147" s="8">
        <v>25000</v>
      </c>
      <c r="AD147" s="8">
        <v>25000</v>
      </c>
      <c r="AE147" s="8">
        <v>25000</v>
      </c>
      <c r="AF147" s="8">
        <v>25000</v>
      </c>
      <c r="AG147" s="8">
        <v>25000</v>
      </c>
      <c r="AH147" s="8">
        <v>25000</v>
      </c>
      <c r="AI147" s="8">
        <v>25000</v>
      </c>
      <c r="AJ147" s="8">
        <v>25000</v>
      </c>
      <c r="AK147" s="8">
        <v>25000</v>
      </c>
      <c r="AL147" s="8">
        <v>25000</v>
      </c>
      <c r="AM147" s="8">
        <v>25000</v>
      </c>
    </row>
    <row r="148" spans="1:39">
      <c r="A148" s="7" t="s">
        <v>176</v>
      </c>
      <c r="B148" s="7" t="s">
        <v>195</v>
      </c>
      <c r="C148" s="8">
        <v>90000</v>
      </c>
      <c r="D148" s="8">
        <v>90000</v>
      </c>
      <c r="E148" s="8">
        <v>90000</v>
      </c>
      <c r="F148" s="8">
        <v>90000</v>
      </c>
      <c r="G148" s="8">
        <v>90000</v>
      </c>
      <c r="H148" s="8">
        <v>90000</v>
      </c>
      <c r="I148" s="8">
        <v>90000</v>
      </c>
      <c r="J148" s="8">
        <v>90000</v>
      </c>
      <c r="K148" s="8">
        <v>90000</v>
      </c>
      <c r="L148" s="8">
        <v>90000</v>
      </c>
      <c r="M148" s="8">
        <v>90000</v>
      </c>
      <c r="N148" s="8">
        <v>90000</v>
      </c>
      <c r="O148" s="8">
        <v>90000</v>
      </c>
      <c r="P148" s="8">
        <v>90000</v>
      </c>
      <c r="Q148" s="8">
        <v>90000</v>
      </c>
      <c r="R148" s="8">
        <v>90000</v>
      </c>
      <c r="S148" s="8">
        <v>90000</v>
      </c>
      <c r="T148" s="8">
        <v>90000</v>
      </c>
      <c r="U148" s="8">
        <v>90000</v>
      </c>
      <c r="V148" s="8">
        <v>90000</v>
      </c>
      <c r="W148" s="8">
        <v>90000</v>
      </c>
      <c r="X148" s="8">
        <v>90000</v>
      </c>
      <c r="Y148" s="8">
        <v>90000</v>
      </c>
      <c r="Z148" s="8">
        <v>90000</v>
      </c>
      <c r="AA148" s="8">
        <v>90000</v>
      </c>
      <c r="AB148" s="8">
        <v>90000</v>
      </c>
      <c r="AC148" s="8">
        <v>90000</v>
      </c>
      <c r="AD148" s="8">
        <v>90000</v>
      </c>
      <c r="AE148" s="8">
        <v>90000</v>
      </c>
      <c r="AF148" s="8">
        <v>90000</v>
      </c>
      <c r="AG148" s="8">
        <v>90000</v>
      </c>
      <c r="AH148" s="8">
        <v>90000</v>
      </c>
      <c r="AI148" s="8">
        <v>90000</v>
      </c>
      <c r="AJ148" s="8">
        <v>90000</v>
      </c>
      <c r="AK148" s="8">
        <v>90000</v>
      </c>
      <c r="AL148" s="8">
        <v>90000</v>
      </c>
      <c r="AM148" s="8">
        <v>90000</v>
      </c>
    </row>
    <row r="149" spans="1:39">
      <c r="A149" s="7" t="s">
        <v>176</v>
      </c>
      <c r="B149" s="7" t="s">
        <v>196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>
        <v>45000</v>
      </c>
      <c r="P149" s="8">
        <v>45000</v>
      </c>
      <c r="Q149" s="8">
        <v>45000</v>
      </c>
      <c r="R149" s="8">
        <v>45000</v>
      </c>
      <c r="S149" s="8">
        <v>45000</v>
      </c>
      <c r="T149" s="8">
        <v>45000</v>
      </c>
      <c r="U149" s="8">
        <v>45000</v>
      </c>
      <c r="V149" s="8">
        <v>45000</v>
      </c>
      <c r="W149" s="8">
        <v>45000</v>
      </c>
      <c r="X149" s="8">
        <v>45000</v>
      </c>
      <c r="Y149" s="8">
        <v>45000</v>
      </c>
      <c r="Z149" s="8">
        <v>45000</v>
      </c>
      <c r="AA149" s="8">
        <v>45000</v>
      </c>
      <c r="AB149" s="8">
        <v>45000</v>
      </c>
      <c r="AC149" s="8">
        <v>45000</v>
      </c>
      <c r="AD149" s="8">
        <v>45000</v>
      </c>
      <c r="AE149" s="8">
        <v>45000</v>
      </c>
      <c r="AF149" s="8">
        <v>45000</v>
      </c>
      <c r="AG149" s="8">
        <v>45000</v>
      </c>
      <c r="AH149" s="8">
        <v>45000</v>
      </c>
      <c r="AI149" s="8">
        <v>45000</v>
      </c>
      <c r="AJ149" s="8">
        <v>45000</v>
      </c>
      <c r="AK149" s="8">
        <v>45000</v>
      </c>
      <c r="AL149" s="8">
        <v>45000</v>
      </c>
      <c r="AM149" s="8">
        <v>45000</v>
      </c>
    </row>
    <row r="150" spans="1:39">
      <c r="A150" s="7" t="s">
        <v>176</v>
      </c>
      <c r="B150" s="7" t="s">
        <v>197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>
        <v>10000</v>
      </c>
      <c r="Y150" s="8">
        <v>10000</v>
      </c>
      <c r="Z150" s="8">
        <v>10000</v>
      </c>
      <c r="AA150" s="8">
        <v>10000</v>
      </c>
      <c r="AB150" s="8">
        <v>10000</v>
      </c>
      <c r="AC150" s="8">
        <v>10000</v>
      </c>
      <c r="AD150" s="8">
        <v>10000</v>
      </c>
      <c r="AE150" s="8">
        <v>10000</v>
      </c>
      <c r="AF150" s="8">
        <v>10000</v>
      </c>
      <c r="AG150" s="8">
        <v>10000</v>
      </c>
      <c r="AH150" s="8">
        <v>10000</v>
      </c>
      <c r="AI150" s="8">
        <v>10000</v>
      </c>
      <c r="AJ150" s="8">
        <v>10000</v>
      </c>
      <c r="AK150" s="8">
        <v>10000</v>
      </c>
      <c r="AL150" s="8">
        <v>10000</v>
      </c>
      <c r="AM150" s="8">
        <v>10000</v>
      </c>
    </row>
    <row r="151" spans="1:39">
      <c r="A151" s="7" t="s">
        <v>176</v>
      </c>
      <c r="B151" s="7" t="s">
        <v>198</v>
      </c>
      <c r="C151" s="8">
        <v>500000</v>
      </c>
      <c r="D151" s="8">
        <v>500000</v>
      </c>
      <c r="E151" s="8">
        <v>500000</v>
      </c>
      <c r="F151" s="8">
        <v>500000</v>
      </c>
      <c r="G151" s="8">
        <v>500000</v>
      </c>
      <c r="H151" s="8">
        <v>500000</v>
      </c>
      <c r="I151" s="8">
        <v>500000</v>
      </c>
      <c r="J151" s="8">
        <v>500000</v>
      </c>
      <c r="K151" s="8">
        <v>500000</v>
      </c>
      <c r="L151" s="8">
        <v>500000</v>
      </c>
      <c r="M151" s="8">
        <v>500000</v>
      </c>
      <c r="N151" s="8">
        <v>500000</v>
      </c>
      <c r="O151" s="8">
        <v>500000</v>
      </c>
      <c r="P151" s="8">
        <v>500000</v>
      </c>
      <c r="Q151" s="8">
        <v>500000</v>
      </c>
      <c r="R151" s="8">
        <v>500000</v>
      </c>
      <c r="S151" s="8">
        <v>500000</v>
      </c>
      <c r="T151" s="8">
        <v>500000</v>
      </c>
      <c r="U151" s="8">
        <v>500000</v>
      </c>
      <c r="V151" s="8">
        <v>500000</v>
      </c>
      <c r="W151" s="8">
        <v>500000</v>
      </c>
      <c r="X151" s="8">
        <v>500000</v>
      </c>
      <c r="Y151" s="8">
        <v>500000</v>
      </c>
      <c r="Z151" s="8">
        <v>500000</v>
      </c>
      <c r="AA151" s="8">
        <v>500000</v>
      </c>
      <c r="AB151" s="8">
        <v>500000</v>
      </c>
      <c r="AC151" s="8">
        <v>500000</v>
      </c>
      <c r="AD151" s="8">
        <v>500000</v>
      </c>
      <c r="AE151" s="8">
        <v>500000</v>
      </c>
      <c r="AF151" s="8">
        <v>500000</v>
      </c>
      <c r="AG151" s="8">
        <v>500000</v>
      </c>
      <c r="AH151" s="8">
        <v>500000</v>
      </c>
      <c r="AI151" s="8">
        <v>500000</v>
      </c>
      <c r="AJ151" s="8">
        <v>500000</v>
      </c>
      <c r="AK151" s="8">
        <v>500000</v>
      </c>
      <c r="AL151" s="8">
        <v>500000</v>
      </c>
      <c r="AM151" s="8">
        <v>500000</v>
      </c>
    </row>
    <row r="152" spans="1:39">
      <c r="A152" s="7" t="s">
        <v>176</v>
      </c>
      <c r="B152" s="7" t="s">
        <v>199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>
        <v>100000</v>
      </c>
      <c r="O152" s="8">
        <v>100000</v>
      </c>
      <c r="P152" s="8">
        <v>100000</v>
      </c>
      <c r="Q152" s="8">
        <v>100000</v>
      </c>
      <c r="R152" s="8">
        <v>100000</v>
      </c>
      <c r="S152" s="8">
        <v>100000</v>
      </c>
      <c r="T152" s="8">
        <v>100000</v>
      </c>
      <c r="U152" s="8">
        <v>100000</v>
      </c>
      <c r="V152" s="8">
        <v>100000</v>
      </c>
      <c r="W152" s="8">
        <v>100000</v>
      </c>
      <c r="X152" s="8">
        <v>100000</v>
      </c>
      <c r="Y152" s="8">
        <v>100000</v>
      </c>
      <c r="Z152" s="8">
        <v>100000</v>
      </c>
      <c r="AA152" s="8">
        <v>100000</v>
      </c>
      <c r="AB152" s="8">
        <v>100000</v>
      </c>
      <c r="AC152" s="8">
        <v>100000</v>
      </c>
      <c r="AD152" s="8">
        <v>100000</v>
      </c>
      <c r="AE152" s="8">
        <v>100000</v>
      </c>
      <c r="AF152" s="8">
        <v>100000</v>
      </c>
      <c r="AG152" s="8">
        <v>100000</v>
      </c>
      <c r="AH152" s="8">
        <v>100000</v>
      </c>
      <c r="AI152" s="8">
        <v>100000</v>
      </c>
      <c r="AJ152" s="8">
        <v>100000</v>
      </c>
      <c r="AK152" s="8">
        <v>100000</v>
      </c>
      <c r="AL152" s="8">
        <v>100000</v>
      </c>
      <c r="AM152" s="8">
        <v>100000</v>
      </c>
    </row>
    <row r="153" spans="1:39">
      <c r="A153" s="7" t="s">
        <v>176</v>
      </c>
      <c r="B153" s="7" t="s">
        <v>200</v>
      </c>
      <c r="C153" s="8">
        <v>75000</v>
      </c>
      <c r="D153" s="8">
        <v>75000</v>
      </c>
      <c r="E153" s="8">
        <v>75000</v>
      </c>
      <c r="F153" s="8">
        <v>75000</v>
      </c>
      <c r="G153" s="8">
        <v>75000</v>
      </c>
      <c r="H153" s="8">
        <v>75000</v>
      </c>
      <c r="I153" s="8">
        <v>75000</v>
      </c>
      <c r="J153" s="8">
        <v>75000</v>
      </c>
      <c r="K153" s="8">
        <v>75000</v>
      </c>
      <c r="L153" s="8">
        <v>75000</v>
      </c>
      <c r="M153" s="8">
        <v>75000</v>
      </c>
      <c r="N153" s="8">
        <v>75000</v>
      </c>
      <c r="O153" s="8">
        <v>75000</v>
      </c>
      <c r="P153" s="8">
        <v>75000</v>
      </c>
      <c r="Q153" s="8">
        <v>75000</v>
      </c>
      <c r="R153" s="8">
        <v>75000</v>
      </c>
      <c r="S153" s="8">
        <v>75000</v>
      </c>
      <c r="T153" s="8">
        <v>75000</v>
      </c>
      <c r="U153" s="8">
        <v>75000</v>
      </c>
      <c r="V153" s="8">
        <v>75000</v>
      </c>
      <c r="W153" s="8">
        <v>75000</v>
      </c>
      <c r="X153" s="8">
        <v>75000</v>
      </c>
      <c r="Y153" s="8">
        <v>75000</v>
      </c>
      <c r="Z153" s="8">
        <v>75000</v>
      </c>
      <c r="AA153" s="8">
        <v>75000</v>
      </c>
      <c r="AB153" s="8">
        <v>75000</v>
      </c>
      <c r="AC153" s="8">
        <v>75000</v>
      </c>
      <c r="AD153" s="8">
        <v>75000</v>
      </c>
      <c r="AE153" s="8">
        <v>75000</v>
      </c>
      <c r="AF153" s="8">
        <v>75000</v>
      </c>
      <c r="AG153" s="8">
        <v>75000</v>
      </c>
      <c r="AH153" s="8">
        <v>75000</v>
      </c>
      <c r="AI153" s="8">
        <v>75000</v>
      </c>
      <c r="AJ153" s="8">
        <v>75000</v>
      </c>
      <c r="AK153" s="8">
        <v>75000</v>
      </c>
      <c r="AL153" s="8">
        <v>75000</v>
      </c>
      <c r="AM153" s="8">
        <v>75000</v>
      </c>
    </row>
    <row r="154" spans="1:39">
      <c r="A154" s="7" t="s">
        <v>176</v>
      </c>
      <c r="B154" s="7" t="s">
        <v>201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>
        <v>15000</v>
      </c>
      <c r="Y154" s="8">
        <v>15000</v>
      </c>
      <c r="Z154" s="8">
        <v>15000</v>
      </c>
      <c r="AA154" s="8">
        <v>15000</v>
      </c>
      <c r="AB154" s="8">
        <v>15000</v>
      </c>
      <c r="AC154" s="8">
        <v>15000</v>
      </c>
      <c r="AD154" s="8">
        <v>15000</v>
      </c>
      <c r="AE154" s="8">
        <v>15000</v>
      </c>
      <c r="AF154" s="8">
        <v>15000</v>
      </c>
      <c r="AG154" s="8">
        <v>15000</v>
      </c>
      <c r="AH154" s="8">
        <v>15000</v>
      </c>
      <c r="AI154" s="8">
        <v>15000</v>
      </c>
      <c r="AJ154" s="8">
        <v>15000</v>
      </c>
      <c r="AK154" s="8">
        <v>15000</v>
      </c>
      <c r="AL154" s="8">
        <v>15000</v>
      </c>
      <c r="AM154" s="8">
        <v>15000</v>
      </c>
    </row>
    <row r="155" spans="1:39">
      <c r="A155" s="7" t="s">
        <v>176</v>
      </c>
      <c r="B155" s="7" t="s">
        <v>202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>
        <v>21000</v>
      </c>
      <c r="AJ155" s="8">
        <v>21000</v>
      </c>
      <c r="AK155" s="8">
        <v>21000</v>
      </c>
      <c r="AL155" s="8">
        <v>21000</v>
      </c>
      <c r="AM155" s="8">
        <v>21000</v>
      </c>
    </row>
    <row r="156" spans="1:39">
      <c r="A156" s="7" t="s">
        <v>176</v>
      </c>
      <c r="B156" s="7" t="s">
        <v>203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>
        <v>100000</v>
      </c>
      <c r="N156" s="8">
        <v>100000</v>
      </c>
      <c r="O156" s="8">
        <v>100000</v>
      </c>
      <c r="P156" s="8">
        <v>100000</v>
      </c>
      <c r="Q156" s="8">
        <v>100000</v>
      </c>
      <c r="R156" s="8">
        <v>100000</v>
      </c>
      <c r="S156" s="8">
        <v>100000</v>
      </c>
      <c r="T156" s="8">
        <v>100000</v>
      </c>
      <c r="U156" s="8">
        <v>100000</v>
      </c>
      <c r="V156" s="8">
        <v>100000</v>
      </c>
      <c r="W156" s="8">
        <v>100000</v>
      </c>
      <c r="X156" s="8">
        <v>100000</v>
      </c>
      <c r="Y156" s="8">
        <v>100000</v>
      </c>
      <c r="Z156" s="8">
        <v>100000</v>
      </c>
      <c r="AA156" s="8">
        <v>100000</v>
      </c>
      <c r="AB156" s="8">
        <v>100000</v>
      </c>
      <c r="AC156" s="8">
        <v>100000</v>
      </c>
      <c r="AD156" s="8">
        <v>100000</v>
      </c>
      <c r="AE156" s="8">
        <v>100000</v>
      </c>
      <c r="AF156" s="8">
        <v>100000</v>
      </c>
      <c r="AG156" s="8">
        <v>100000</v>
      </c>
      <c r="AH156" s="8">
        <v>100000</v>
      </c>
      <c r="AI156" s="8">
        <v>100000</v>
      </c>
      <c r="AJ156" s="8">
        <v>100000</v>
      </c>
      <c r="AK156" s="8">
        <v>100000</v>
      </c>
      <c r="AL156" s="8">
        <v>100000</v>
      </c>
      <c r="AM156" s="8">
        <v>100000</v>
      </c>
    </row>
    <row r="157" spans="1:39">
      <c r="A157" s="7" t="s">
        <v>176</v>
      </c>
      <c r="B157" s="7" t="s">
        <v>204</v>
      </c>
      <c r="C157" s="8">
        <v>50000</v>
      </c>
      <c r="D157" s="8">
        <v>50000</v>
      </c>
      <c r="E157" s="8">
        <v>50000</v>
      </c>
      <c r="F157" s="8">
        <v>50000</v>
      </c>
      <c r="G157" s="8">
        <v>50000</v>
      </c>
      <c r="H157" s="8">
        <v>50000</v>
      </c>
      <c r="I157" s="8">
        <v>50000</v>
      </c>
      <c r="J157" s="8">
        <v>50000</v>
      </c>
      <c r="K157" s="8">
        <v>50000</v>
      </c>
      <c r="L157" s="8">
        <v>50000</v>
      </c>
      <c r="M157" s="8">
        <v>50000</v>
      </c>
      <c r="N157" s="8">
        <v>50000</v>
      </c>
      <c r="O157" s="8">
        <v>50000</v>
      </c>
      <c r="P157" s="8">
        <v>50000</v>
      </c>
      <c r="Q157" s="8">
        <v>50000</v>
      </c>
      <c r="R157" s="8">
        <v>50000</v>
      </c>
      <c r="S157" s="8">
        <v>50000</v>
      </c>
      <c r="T157" s="8">
        <v>50000</v>
      </c>
      <c r="U157" s="8">
        <v>50000</v>
      </c>
      <c r="V157" s="8">
        <v>50000</v>
      </c>
      <c r="W157" s="8">
        <v>50000</v>
      </c>
      <c r="X157" s="8">
        <v>50000</v>
      </c>
      <c r="Y157" s="8">
        <v>50000</v>
      </c>
      <c r="Z157" s="8">
        <v>50000</v>
      </c>
      <c r="AA157" s="8">
        <v>50000</v>
      </c>
      <c r="AB157" s="8">
        <v>50000</v>
      </c>
      <c r="AC157" s="8">
        <v>50000</v>
      </c>
      <c r="AD157" s="8">
        <v>50000</v>
      </c>
      <c r="AE157" s="8">
        <v>50000</v>
      </c>
      <c r="AF157" s="8">
        <v>50000</v>
      </c>
      <c r="AG157" s="8">
        <v>50000</v>
      </c>
      <c r="AH157" s="8">
        <v>50000</v>
      </c>
      <c r="AI157" s="8">
        <v>50000</v>
      </c>
      <c r="AJ157" s="8">
        <v>50000</v>
      </c>
      <c r="AK157" s="8">
        <v>50000</v>
      </c>
      <c r="AL157" s="8">
        <v>50000</v>
      </c>
      <c r="AM157" s="8">
        <v>50000</v>
      </c>
    </row>
    <row r="158" spans="1:39">
      <c r="A158" s="7" t="s">
        <v>176</v>
      </c>
      <c r="B158" s="7" t="s">
        <v>205</v>
      </c>
      <c r="C158" s="8">
        <v>25000</v>
      </c>
      <c r="D158" s="8">
        <v>25000</v>
      </c>
      <c r="E158" s="8">
        <v>25000</v>
      </c>
      <c r="F158" s="8">
        <v>25000</v>
      </c>
      <c r="G158" s="8">
        <v>25000</v>
      </c>
      <c r="H158" s="8">
        <v>25000</v>
      </c>
      <c r="I158" s="8">
        <v>25000</v>
      </c>
      <c r="J158" s="8">
        <v>25000</v>
      </c>
      <c r="K158" s="8">
        <v>25000</v>
      </c>
      <c r="L158" s="8">
        <v>25000</v>
      </c>
      <c r="M158" s="8">
        <v>25000</v>
      </c>
      <c r="N158" s="8">
        <v>25000</v>
      </c>
      <c r="O158" s="8">
        <v>25000</v>
      </c>
      <c r="P158" s="8">
        <v>25000</v>
      </c>
      <c r="Q158" s="8">
        <v>25000</v>
      </c>
      <c r="R158" s="8">
        <v>25000</v>
      </c>
      <c r="S158" s="8">
        <v>25000</v>
      </c>
      <c r="T158" s="8">
        <v>25000</v>
      </c>
      <c r="U158" s="8">
        <v>25000</v>
      </c>
      <c r="V158" s="8">
        <v>25000</v>
      </c>
      <c r="W158" s="8">
        <v>25000</v>
      </c>
      <c r="X158" s="8">
        <v>25000</v>
      </c>
      <c r="Y158" s="8">
        <v>25000</v>
      </c>
      <c r="Z158" s="8">
        <v>25000</v>
      </c>
      <c r="AA158" s="8">
        <v>25000</v>
      </c>
      <c r="AB158" s="8">
        <v>25000</v>
      </c>
      <c r="AC158" s="8">
        <v>25000</v>
      </c>
      <c r="AD158" s="8">
        <v>25000</v>
      </c>
      <c r="AE158" s="8">
        <v>25000</v>
      </c>
      <c r="AF158" s="8">
        <v>25000</v>
      </c>
      <c r="AG158" s="8">
        <v>25000</v>
      </c>
      <c r="AH158" s="8">
        <v>25000</v>
      </c>
      <c r="AI158" s="8">
        <v>25000</v>
      </c>
      <c r="AJ158" s="8">
        <v>25000</v>
      </c>
      <c r="AK158" s="8">
        <v>25000</v>
      </c>
      <c r="AL158" s="8">
        <v>25000</v>
      </c>
      <c r="AM158" s="8">
        <v>25000</v>
      </c>
    </row>
    <row r="159" spans="1:39">
      <c r="A159" s="7" t="s">
        <v>176</v>
      </c>
      <c r="B159" s="7" t="s">
        <v>206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>
        <v>10000</v>
      </c>
      <c r="Y159" s="8">
        <v>10000</v>
      </c>
      <c r="Z159" s="8">
        <v>10000</v>
      </c>
      <c r="AA159" s="8">
        <v>10000</v>
      </c>
      <c r="AB159" s="8">
        <v>10000</v>
      </c>
      <c r="AC159" s="8">
        <v>10000</v>
      </c>
      <c r="AD159" s="8">
        <v>10000</v>
      </c>
      <c r="AE159" s="8">
        <v>10000</v>
      </c>
      <c r="AF159" s="8">
        <v>10000</v>
      </c>
      <c r="AG159" s="8">
        <v>10000</v>
      </c>
      <c r="AH159" s="8">
        <v>10000</v>
      </c>
      <c r="AI159" s="8">
        <v>10000</v>
      </c>
      <c r="AJ159" s="8">
        <v>10000</v>
      </c>
      <c r="AK159" s="8">
        <v>10000</v>
      </c>
      <c r="AL159" s="8">
        <v>10000</v>
      </c>
      <c r="AM159" s="8">
        <v>10000</v>
      </c>
    </row>
    <row r="160" spans="1:39">
      <c r="A160" s="7" t="s">
        <v>176</v>
      </c>
      <c r="B160" s="7" t="s">
        <v>207</v>
      </c>
      <c r="C160" s="8">
        <v>50000</v>
      </c>
      <c r="D160" s="8">
        <v>50000</v>
      </c>
      <c r="E160" s="8">
        <v>50000</v>
      </c>
      <c r="F160" s="8">
        <v>50000</v>
      </c>
      <c r="G160" s="8">
        <v>50000</v>
      </c>
      <c r="H160" s="8">
        <v>50000</v>
      </c>
      <c r="I160" s="8">
        <v>50000</v>
      </c>
      <c r="J160" s="8">
        <v>50000</v>
      </c>
      <c r="K160" s="8">
        <v>50000</v>
      </c>
      <c r="L160" s="8">
        <v>50000</v>
      </c>
      <c r="M160" s="8">
        <v>50000</v>
      </c>
      <c r="N160" s="8">
        <v>50000</v>
      </c>
      <c r="O160" s="8">
        <v>50000</v>
      </c>
      <c r="P160" s="8">
        <v>50000</v>
      </c>
      <c r="Q160" s="8">
        <v>50000</v>
      </c>
      <c r="R160" s="8">
        <v>50000</v>
      </c>
      <c r="S160" s="8">
        <v>50000</v>
      </c>
      <c r="T160" s="8">
        <v>50000</v>
      </c>
      <c r="U160" s="8">
        <v>50000</v>
      </c>
      <c r="V160" s="8">
        <v>50000</v>
      </c>
      <c r="W160" s="8">
        <v>50000</v>
      </c>
      <c r="X160" s="8">
        <v>50000</v>
      </c>
      <c r="Y160" s="8">
        <v>50000</v>
      </c>
      <c r="Z160" s="8">
        <v>50000</v>
      </c>
      <c r="AA160" s="8">
        <v>50000</v>
      </c>
      <c r="AB160" s="8">
        <v>50000</v>
      </c>
      <c r="AC160" s="8">
        <v>50000</v>
      </c>
      <c r="AD160" s="8">
        <v>50000</v>
      </c>
      <c r="AE160" s="8">
        <v>50000</v>
      </c>
      <c r="AF160" s="8">
        <v>50000</v>
      </c>
      <c r="AG160" s="8">
        <v>50000</v>
      </c>
      <c r="AH160" s="8">
        <v>50000</v>
      </c>
      <c r="AI160" s="8">
        <v>50000</v>
      </c>
      <c r="AJ160" s="8">
        <v>50000</v>
      </c>
      <c r="AK160" s="8">
        <v>50000</v>
      </c>
      <c r="AL160" s="8">
        <v>50000</v>
      </c>
      <c r="AM160" s="8">
        <v>50000</v>
      </c>
    </row>
    <row r="161" spans="1:39">
      <c r="A161" s="7" t="s">
        <v>176</v>
      </c>
      <c r="B161" s="7" t="s">
        <v>208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>
        <v>15000</v>
      </c>
      <c r="Y161" s="8">
        <v>15000</v>
      </c>
      <c r="Z161" s="8">
        <v>15000</v>
      </c>
      <c r="AA161" s="8">
        <v>15000</v>
      </c>
      <c r="AB161" s="8">
        <v>15000</v>
      </c>
      <c r="AC161" s="8">
        <v>15000</v>
      </c>
      <c r="AD161" s="8">
        <v>15000</v>
      </c>
      <c r="AE161" s="8">
        <v>15000</v>
      </c>
      <c r="AF161" s="8">
        <v>15000</v>
      </c>
      <c r="AG161" s="8">
        <v>15000</v>
      </c>
      <c r="AH161" s="8">
        <v>15000</v>
      </c>
      <c r="AI161" s="8">
        <v>15000</v>
      </c>
      <c r="AJ161" s="8">
        <v>15000</v>
      </c>
      <c r="AK161" s="8">
        <v>15000</v>
      </c>
      <c r="AL161" s="8">
        <v>15000</v>
      </c>
      <c r="AM161" s="8">
        <v>15000</v>
      </c>
    </row>
    <row r="162" spans="1:39">
      <c r="A162" s="7" t="s">
        <v>176</v>
      </c>
      <c r="B162" s="7" t="s">
        <v>209</v>
      </c>
      <c r="C162" s="8">
        <v>25000</v>
      </c>
      <c r="D162" s="8">
        <v>25000</v>
      </c>
      <c r="E162" s="8">
        <v>25000</v>
      </c>
      <c r="F162" s="8">
        <v>25000</v>
      </c>
      <c r="G162" s="8">
        <v>25000</v>
      </c>
      <c r="H162" s="8">
        <v>25000</v>
      </c>
      <c r="I162" s="8">
        <v>25000</v>
      </c>
      <c r="J162" s="8">
        <v>25000</v>
      </c>
      <c r="K162" s="8">
        <v>25000</v>
      </c>
      <c r="L162" s="8">
        <v>25000</v>
      </c>
      <c r="M162" s="8">
        <v>25000</v>
      </c>
      <c r="N162" s="8">
        <v>25000</v>
      </c>
      <c r="O162" s="8">
        <v>25000</v>
      </c>
      <c r="P162" s="8">
        <v>25000</v>
      </c>
      <c r="Q162" s="8">
        <v>25000</v>
      </c>
      <c r="R162" s="8">
        <v>25000</v>
      </c>
      <c r="S162" s="8">
        <v>25000</v>
      </c>
      <c r="T162" s="8">
        <v>25000</v>
      </c>
      <c r="U162" s="8">
        <v>25000</v>
      </c>
      <c r="V162" s="8">
        <v>25000</v>
      </c>
      <c r="W162" s="8">
        <v>25000</v>
      </c>
      <c r="X162" s="8">
        <v>25000</v>
      </c>
      <c r="Y162" s="8">
        <v>25000</v>
      </c>
      <c r="Z162" s="8">
        <v>25000</v>
      </c>
      <c r="AA162" s="8">
        <v>25000</v>
      </c>
      <c r="AB162" s="8">
        <v>25000</v>
      </c>
      <c r="AC162" s="8">
        <v>25000</v>
      </c>
      <c r="AD162" s="8">
        <v>25000</v>
      </c>
      <c r="AE162" s="8">
        <v>25000</v>
      </c>
      <c r="AF162" s="8">
        <v>25000</v>
      </c>
      <c r="AG162" s="8">
        <v>25000</v>
      </c>
      <c r="AH162" s="8">
        <v>25000</v>
      </c>
      <c r="AI162" s="8">
        <v>25000</v>
      </c>
      <c r="AJ162" s="8">
        <v>25000</v>
      </c>
      <c r="AK162" s="8">
        <v>25000</v>
      </c>
      <c r="AL162" s="8">
        <v>25000</v>
      </c>
      <c r="AM162" s="8">
        <v>25000</v>
      </c>
    </row>
    <row r="163" spans="1:39">
      <c r="A163" s="7" t="s">
        <v>176</v>
      </c>
      <c r="B163" s="7" t="s">
        <v>210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>
        <v>21000</v>
      </c>
      <c r="AI163" s="8">
        <v>21000</v>
      </c>
      <c r="AJ163" s="8">
        <v>21000</v>
      </c>
      <c r="AK163" s="8">
        <v>21000</v>
      </c>
      <c r="AL163" s="8">
        <v>21000</v>
      </c>
      <c r="AM163" s="8">
        <v>21000</v>
      </c>
    </row>
    <row r="164" spans="1:39">
      <c r="A164" s="7" t="s">
        <v>176</v>
      </c>
      <c r="B164" s="7" t="s">
        <v>211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>
        <v>100000</v>
      </c>
      <c r="N164" s="8">
        <v>100000</v>
      </c>
      <c r="O164" s="8">
        <v>100000</v>
      </c>
      <c r="P164" s="8">
        <v>100000</v>
      </c>
      <c r="Q164" s="8">
        <v>100000</v>
      </c>
      <c r="R164" s="8">
        <v>100000</v>
      </c>
      <c r="S164" s="8">
        <v>100000</v>
      </c>
      <c r="T164" s="8">
        <v>100000</v>
      </c>
      <c r="U164" s="8">
        <v>100000</v>
      </c>
      <c r="V164" s="8">
        <v>100000</v>
      </c>
      <c r="W164" s="8">
        <v>100000</v>
      </c>
      <c r="X164" s="8">
        <v>100000</v>
      </c>
      <c r="Y164" s="8">
        <v>100000</v>
      </c>
      <c r="Z164" s="8">
        <v>100000</v>
      </c>
      <c r="AA164" s="8">
        <v>100000</v>
      </c>
      <c r="AB164" s="8">
        <v>100000</v>
      </c>
      <c r="AC164" s="8">
        <v>100000</v>
      </c>
      <c r="AD164" s="8">
        <v>100000</v>
      </c>
      <c r="AE164" s="8">
        <v>100000</v>
      </c>
      <c r="AF164" s="8">
        <v>100000</v>
      </c>
      <c r="AG164" s="8">
        <v>100000</v>
      </c>
      <c r="AH164" s="8">
        <v>100000</v>
      </c>
      <c r="AI164" s="8">
        <v>100000</v>
      </c>
      <c r="AJ164" s="8">
        <v>100000</v>
      </c>
      <c r="AK164" s="8">
        <v>100000</v>
      </c>
      <c r="AL164" s="8">
        <v>100000</v>
      </c>
      <c r="AM164" s="8">
        <v>100000</v>
      </c>
    </row>
    <row r="165" spans="1:39">
      <c r="A165" s="7" t="s">
        <v>176</v>
      </c>
      <c r="B165" s="7" t="s">
        <v>212</v>
      </c>
      <c r="C165" s="8">
        <v>50000</v>
      </c>
      <c r="D165" s="8">
        <v>50000</v>
      </c>
      <c r="E165" s="8">
        <v>50000</v>
      </c>
      <c r="F165" s="8">
        <v>50000</v>
      </c>
      <c r="G165" s="8">
        <v>50000</v>
      </c>
      <c r="H165" s="8">
        <v>50000</v>
      </c>
      <c r="I165" s="8">
        <v>50000</v>
      </c>
      <c r="J165" s="8">
        <v>50000</v>
      </c>
      <c r="K165" s="8">
        <v>50000</v>
      </c>
      <c r="L165" s="8">
        <v>50000</v>
      </c>
      <c r="M165" s="8">
        <v>50000</v>
      </c>
      <c r="N165" s="8">
        <v>50000</v>
      </c>
      <c r="O165" s="8">
        <v>50000</v>
      </c>
      <c r="P165" s="8">
        <v>50000</v>
      </c>
      <c r="Q165" s="8">
        <v>50000</v>
      </c>
      <c r="R165" s="8">
        <v>50000</v>
      </c>
      <c r="S165" s="8">
        <v>50000</v>
      </c>
      <c r="T165" s="8">
        <v>50000</v>
      </c>
      <c r="U165" s="8">
        <v>50000</v>
      </c>
      <c r="V165" s="8">
        <v>50000</v>
      </c>
      <c r="W165" s="8">
        <v>50000</v>
      </c>
      <c r="X165" s="8">
        <v>50000</v>
      </c>
      <c r="Y165" s="8">
        <v>50000</v>
      </c>
      <c r="Z165" s="8">
        <v>50000</v>
      </c>
      <c r="AA165" s="8">
        <v>50000</v>
      </c>
      <c r="AB165" s="8">
        <v>50000</v>
      </c>
      <c r="AC165" s="8">
        <v>50000</v>
      </c>
      <c r="AD165" s="8">
        <v>50000</v>
      </c>
      <c r="AE165" s="8">
        <v>50000</v>
      </c>
      <c r="AF165" s="8">
        <v>50000</v>
      </c>
      <c r="AG165" s="8">
        <v>50000</v>
      </c>
      <c r="AH165" s="8">
        <v>50000</v>
      </c>
      <c r="AI165" s="8">
        <v>50000</v>
      </c>
      <c r="AJ165" s="8">
        <v>50000</v>
      </c>
      <c r="AK165" s="8">
        <v>50000</v>
      </c>
      <c r="AL165" s="8">
        <v>50000</v>
      </c>
      <c r="AM165" s="8">
        <v>50000</v>
      </c>
    </row>
    <row r="166" spans="1:39">
      <c r="A166" s="7" t="s">
        <v>176</v>
      </c>
      <c r="B166" s="7" t="s">
        <v>213</v>
      </c>
      <c r="C166" s="8">
        <v>150000</v>
      </c>
      <c r="D166" s="8">
        <v>150000</v>
      </c>
      <c r="E166" s="8">
        <v>150000</v>
      </c>
      <c r="F166" s="8">
        <v>150000</v>
      </c>
      <c r="G166" s="8">
        <v>150000</v>
      </c>
      <c r="H166" s="8">
        <v>150000</v>
      </c>
      <c r="I166" s="8">
        <v>150000</v>
      </c>
      <c r="J166" s="8">
        <v>150000</v>
      </c>
      <c r="K166" s="8">
        <v>150000</v>
      </c>
      <c r="L166" s="8">
        <v>150000</v>
      </c>
      <c r="M166" s="8">
        <v>150000</v>
      </c>
      <c r="N166" s="8">
        <v>150000</v>
      </c>
      <c r="O166" s="8">
        <v>150000</v>
      </c>
      <c r="P166" s="8">
        <v>150000</v>
      </c>
      <c r="Q166" s="8">
        <v>150000</v>
      </c>
      <c r="R166" s="8">
        <v>150000</v>
      </c>
      <c r="S166" s="8">
        <v>150000</v>
      </c>
      <c r="T166" s="8">
        <v>150000</v>
      </c>
      <c r="U166" s="8">
        <v>150000</v>
      </c>
      <c r="V166" s="8">
        <v>150000</v>
      </c>
      <c r="W166" s="8">
        <v>150000</v>
      </c>
      <c r="X166" s="8">
        <v>150000</v>
      </c>
      <c r="Y166" s="8">
        <v>150000</v>
      </c>
      <c r="Z166" s="8">
        <v>150000</v>
      </c>
      <c r="AA166" s="8">
        <v>150000</v>
      </c>
      <c r="AB166" s="8">
        <v>150000</v>
      </c>
      <c r="AC166" s="8">
        <v>150000</v>
      </c>
      <c r="AD166" s="8">
        <v>150000</v>
      </c>
      <c r="AE166" s="8">
        <v>150000</v>
      </c>
      <c r="AF166" s="8">
        <v>150000</v>
      </c>
      <c r="AG166" s="8">
        <v>150000</v>
      </c>
      <c r="AH166" s="8">
        <v>150000</v>
      </c>
      <c r="AI166" s="8">
        <v>150000</v>
      </c>
      <c r="AJ166" s="8">
        <v>150000</v>
      </c>
      <c r="AK166" s="8">
        <v>150000</v>
      </c>
      <c r="AL166" s="8">
        <v>150000</v>
      </c>
      <c r="AM166" s="8">
        <v>150000</v>
      </c>
    </row>
    <row r="167" spans="1:39">
      <c r="A167" s="7" t="s">
        <v>176</v>
      </c>
      <c r="B167" s="7" t="s">
        <v>214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>
        <v>20000</v>
      </c>
      <c r="Z167" s="8">
        <v>20000</v>
      </c>
      <c r="AA167" s="8">
        <v>20000</v>
      </c>
      <c r="AB167" s="8">
        <v>20000</v>
      </c>
      <c r="AC167" s="8">
        <v>20000</v>
      </c>
      <c r="AD167" s="8">
        <v>20000</v>
      </c>
      <c r="AE167" s="8">
        <v>20000</v>
      </c>
      <c r="AF167" s="8">
        <v>20000</v>
      </c>
      <c r="AG167" s="8">
        <v>20000</v>
      </c>
      <c r="AH167" s="8">
        <v>20000</v>
      </c>
      <c r="AI167" s="8">
        <v>20000</v>
      </c>
      <c r="AJ167" s="8">
        <v>20000</v>
      </c>
      <c r="AK167" s="8">
        <v>20000</v>
      </c>
      <c r="AL167" s="8">
        <v>20000</v>
      </c>
      <c r="AM167" s="8">
        <v>20000</v>
      </c>
    </row>
    <row r="168" spans="1:39">
      <c r="A168" s="7" t="s">
        <v>176</v>
      </c>
      <c r="B168" s="7" t="s">
        <v>215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>
        <v>15000</v>
      </c>
      <c r="Y168" s="8">
        <v>15000</v>
      </c>
      <c r="Z168" s="8">
        <v>15000</v>
      </c>
      <c r="AA168" s="8">
        <v>15000</v>
      </c>
      <c r="AB168" s="8">
        <v>15000</v>
      </c>
      <c r="AC168" s="8">
        <v>15000</v>
      </c>
      <c r="AD168" s="8">
        <v>15000</v>
      </c>
      <c r="AE168" s="8">
        <v>15000</v>
      </c>
      <c r="AF168" s="8">
        <v>15000</v>
      </c>
      <c r="AG168" s="8">
        <v>15000</v>
      </c>
      <c r="AH168" s="8">
        <v>15000</v>
      </c>
      <c r="AI168" s="8">
        <v>15000</v>
      </c>
      <c r="AJ168" s="8">
        <v>15000</v>
      </c>
      <c r="AK168" s="8">
        <v>15000</v>
      </c>
      <c r="AL168" s="8">
        <v>15000</v>
      </c>
      <c r="AM168" s="8">
        <v>15000</v>
      </c>
    </row>
    <row r="169" spans="1:39">
      <c r="A169" s="7" t="s">
        <v>176</v>
      </c>
      <c r="B169" s="7" t="s">
        <v>216</v>
      </c>
      <c r="C169" s="8">
        <v>50000</v>
      </c>
      <c r="D169" s="8">
        <v>50000</v>
      </c>
      <c r="E169" s="8">
        <v>50000</v>
      </c>
      <c r="F169" s="8">
        <v>50000</v>
      </c>
      <c r="G169" s="8">
        <v>50000</v>
      </c>
      <c r="H169" s="8">
        <v>50000</v>
      </c>
      <c r="I169" s="8">
        <v>50000</v>
      </c>
      <c r="J169" s="8">
        <v>50000</v>
      </c>
      <c r="K169" s="8">
        <v>50000</v>
      </c>
      <c r="L169" s="8">
        <v>50000</v>
      </c>
      <c r="M169" s="8">
        <v>50000</v>
      </c>
      <c r="N169" s="8">
        <v>50000</v>
      </c>
      <c r="O169" s="8">
        <v>50000</v>
      </c>
      <c r="P169" s="8">
        <v>50000</v>
      </c>
      <c r="Q169" s="8">
        <v>50000</v>
      </c>
      <c r="R169" s="8">
        <v>50000</v>
      </c>
      <c r="S169" s="8">
        <v>50000</v>
      </c>
      <c r="T169" s="8">
        <v>50000</v>
      </c>
      <c r="U169" s="8">
        <v>50000</v>
      </c>
      <c r="V169" s="8">
        <v>50000</v>
      </c>
      <c r="W169" s="8">
        <v>50000</v>
      </c>
      <c r="X169" s="8">
        <v>50000</v>
      </c>
      <c r="Y169" s="8">
        <v>50000</v>
      </c>
      <c r="Z169" s="8">
        <v>50000</v>
      </c>
      <c r="AA169" s="8">
        <v>50000</v>
      </c>
      <c r="AB169" s="8">
        <v>50000</v>
      </c>
      <c r="AC169" s="8">
        <v>50000</v>
      </c>
      <c r="AD169" s="8">
        <v>50000</v>
      </c>
      <c r="AE169" s="8">
        <v>50000</v>
      </c>
      <c r="AF169" s="8">
        <v>50000</v>
      </c>
      <c r="AG169" s="8">
        <v>50000</v>
      </c>
      <c r="AH169" s="8">
        <v>50000</v>
      </c>
      <c r="AI169" s="8">
        <v>50000</v>
      </c>
      <c r="AJ169" s="8">
        <v>50000</v>
      </c>
      <c r="AK169" s="8">
        <v>50000</v>
      </c>
      <c r="AL169" s="8">
        <v>50000</v>
      </c>
      <c r="AM169" s="8">
        <v>50000</v>
      </c>
    </row>
    <row r="170" spans="1:39">
      <c r="A170" s="7" t="s">
        <v>176</v>
      </c>
      <c r="B170" s="7" t="s">
        <v>217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>
        <v>111766</v>
      </c>
      <c r="Y170" s="8">
        <v>111766</v>
      </c>
      <c r="Z170" s="8">
        <v>111766</v>
      </c>
      <c r="AA170" s="8">
        <v>111766</v>
      </c>
      <c r="AB170" s="8">
        <v>111766</v>
      </c>
      <c r="AC170" s="8">
        <v>111766</v>
      </c>
      <c r="AD170" s="8">
        <v>111766</v>
      </c>
      <c r="AE170" s="8">
        <v>111766</v>
      </c>
      <c r="AF170" s="8">
        <v>111766</v>
      </c>
      <c r="AG170" s="8">
        <v>111766</v>
      </c>
      <c r="AH170" s="8">
        <v>111766</v>
      </c>
      <c r="AI170" s="8">
        <v>111766</v>
      </c>
      <c r="AJ170" s="8">
        <v>111766</v>
      </c>
      <c r="AK170" s="8">
        <v>111766</v>
      </c>
      <c r="AL170" s="8">
        <v>111766</v>
      </c>
      <c r="AM170" s="8">
        <v>111766</v>
      </c>
    </row>
    <row r="171" spans="1:39">
      <c r="A171" s="7" t="s">
        <v>176</v>
      </c>
      <c r="B171" s="7" t="s">
        <v>218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>
        <v>30000</v>
      </c>
      <c r="Y171" s="8">
        <v>30000</v>
      </c>
      <c r="Z171" s="8">
        <v>30000</v>
      </c>
      <c r="AA171" s="8">
        <v>30000</v>
      </c>
      <c r="AB171" s="8">
        <v>30000</v>
      </c>
      <c r="AC171" s="8">
        <v>30000</v>
      </c>
      <c r="AD171" s="8">
        <v>30000</v>
      </c>
      <c r="AE171" s="8">
        <v>30000</v>
      </c>
      <c r="AF171" s="8">
        <v>30000</v>
      </c>
      <c r="AG171" s="8">
        <v>30000</v>
      </c>
      <c r="AH171" s="8">
        <v>30000</v>
      </c>
      <c r="AI171" s="8">
        <v>30000</v>
      </c>
      <c r="AJ171" s="8">
        <v>30000</v>
      </c>
      <c r="AK171" s="8">
        <v>30000</v>
      </c>
      <c r="AL171" s="8">
        <v>30000</v>
      </c>
      <c r="AM171" s="8">
        <v>30000</v>
      </c>
    </row>
    <row r="172" spans="1:39">
      <c r="A172" s="7" t="s">
        <v>176</v>
      </c>
      <c r="B172" s="7" t="s">
        <v>219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>
        <v>50000</v>
      </c>
      <c r="P172" s="8">
        <v>50000</v>
      </c>
      <c r="Q172" s="8">
        <v>50000</v>
      </c>
      <c r="R172" s="8">
        <v>50000</v>
      </c>
      <c r="S172" s="8">
        <v>50000</v>
      </c>
      <c r="T172" s="8">
        <v>50000</v>
      </c>
      <c r="U172" s="8">
        <v>50000</v>
      </c>
      <c r="V172" s="8">
        <v>50000</v>
      </c>
      <c r="W172" s="8">
        <v>50000</v>
      </c>
      <c r="X172" s="8">
        <v>50000</v>
      </c>
      <c r="Y172" s="8">
        <v>50000</v>
      </c>
      <c r="Z172" s="8">
        <v>50000</v>
      </c>
      <c r="AA172" s="8">
        <v>50000</v>
      </c>
      <c r="AB172" s="8">
        <v>50000</v>
      </c>
      <c r="AC172" s="8">
        <v>50000</v>
      </c>
      <c r="AD172" s="8">
        <v>50000</v>
      </c>
      <c r="AE172" s="8">
        <v>50000</v>
      </c>
      <c r="AF172" s="8">
        <v>50000</v>
      </c>
      <c r="AG172" s="8">
        <v>50000</v>
      </c>
      <c r="AH172" s="8">
        <v>50000</v>
      </c>
      <c r="AI172" s="8">
        <v>50000</v>
      </c>
      <c r="AJ172" s="8">
        <v>50000</v>
      </c>
      <c r="AK172" s="8">
        <v>50000</v>
      </c>
      <c r="AL172" s="8">
        <v>50000</v>
      </c>
      <c r="AM172" s="8">
        <v>50000</v>
      </c>
    </row>
    <row r="173" spans="1:39">
      <c r="A173" s="7" t="s">
        <v>176</v>
      </c>
      <c r="B173" s="7" t="s">
        <v>220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>
        <v>100000</v>
      </c>
      <c r="AJ173" s="8">
        <v>100000</v>
      </c>
      <c r="AK173" s="8">
        <v>100000</v>
      </c>
      <c r="AL173" s="8">
        <v>100000</v>
      </c>
      <c r="AM173" s="8">
        <v>100000</v>
      </c>
    </row>
    <row r="174" spans="1:39">
      <c r="A174" s="7" t="s">
        <v>176</v>
      </c>
      <c r="B174" s="7" t="s">
        <v>221</v>
      </c>
      <c r="C174" s="8">
        <v>110000</v>
      </c>
      <c r="D174" s="8">
        <v>110000</v>
      </c>
      <c r="E174" s="8">
        <v>110000</v>
      </c>
      <c r="F174" s="8">
        <v>110000</v>
      </c>
      <c r="G174" s="8">
        <v>110000</v>
      </c>
      <c r="H174" s="8">
        <v>110000</v>
      </c>
      <c r="I174" s="8">
        <v>110000</v>
      </c>
      <c r="J174" s="8">
        <v>110000</v>
      </c>
      <c r="K174" s="8">
        <v>110000</v>
      </c>
      <c r="L174" s="8">
        <v>110000</v>
      </c>
      <c r="M174" s="8">
        <v>110000</v>
      </c>
      <c r="N174" s="8">
        <v>110000</v>
      </c>
      <c r="O174" s="8">
        <v>110000</v>
      </c>
      <c r="P174" s="8">
        <v>110000</v>
      </c>
      <c r="Q174" s="8">
        <v>110000</v>
      </c>
      <c r="R174" s="8">
        <v>110000</v>
      </c>
      <c r="S174" s="8">
        <v>110000</v>
      </c>
      <c r="T174" s="8">
        <v>110000</v>
      </c>
      <c r="U174" s="8">
        <v>110000</v>
      </c>
      <c r="V174" s="8">
        <v>110000</v>
      </c>
      <c r="W174" s="8">
        <v>110000</v>
      </c>
      <c r="X174" s="8">
        <v>110000</v>
      </c>
      <c r="Y174" s="8">
        <v>110000</v>
      </c>
      <c r="Z174" s="8">
        <v>110000</v>
      </c>
      <c r="AA174" s="8">
        <v>110000</v>
      </c>
      <c r="AB174" s="8">
        <v>110000</v>
      </c>
      <c r="AC174" s="8">
        <v>110000</v>
      </c>
      <c r="AD174" s="8">
        <v>110000</v>
      </c>
      <c r="AE174" s="8">
        <v>110000</v>
      </c>
      <c r="AF174" s="8">
        <v>110000</v>
      </c>
      <c r="AG174" s="8">
        <v>110000</v>
      </c>
      <c r="AH174" s="8">
        <v>110000</v>
      </c>
      <c r="AI174" s="8">
        <v>110000</v>
      </c>
      <c r="AJ174" s="8">
        <v>110000</v>
      </c>
      <c r="AK174" s="8">
        <v>110000</v>
      </c>
      <c r="AL174" s="8">
        <v>110000</v>
      </c>
      <c r="AM174" s="8">
        <v>110000</v>
      </c>
    </row>
    <row r="175" spans="1:39">
      <c r="A175" s="7" t="s">
        <v>176</v>
      </c>
      <c r="B175" s="7" t="s">
        <v>222</v>
      </c>
      <c r="C175" s="8">
        <v>25000</v>
      </c>
      <c r="D175" s="8">
        <v>25000</v>
      </c>
      <c r="E175" s="8">
        <v>25000</v>
      </c>
      <c r="F175" s="8">
        <v>25000</v>
      </c>
      <c r="G175" s="8">
        <v>25000</v>
      </c>
      <c r="H175" s="8">
        <v>25000</v>
      </c>
      <c r="I175" s="8">
        <v>25000</v>
      </c>
      <c r="J175" s="8">
        <v>25000</v>
      </c>
      <c r="K175" s="8">
        <v>25000</v>
      </c>
      <c r="L175" s="8">
        <v>25000</v>
      </c>
      <c r="M175" s="8">
        <v>25000</v>
      </c>
      <c r="N175" s="8">
        <v>25000</v>
      </c>
      <c r="O175" s="8">
        <v>25000</v>
      </c>
      <c r="P175" s="8">
        <v>25000</v>
      </c>
      <c r="Q175" s="8">
        <v>25000</v>
      </c>
      <c r="R175" s="8">
        <v>25000</v>
      </c>
      <c r="S175" s="8">
        <v>25000</v>
      </c>
      <c r="T175" s="8">
        <v>25000</v>
      </c>
      <c r="U175" s="8">
        <v>25000</v>
      </c>
      <c r="V175" s="8">
        <v>25000</v>
      </c>
      <c r="W175" s="8">
        <v>25000</v>
      </c>
      <c r="X175" s="8">
        <v>25000</v>
      </c>
      <c r="Y175" s="8">
        <v>25000</v>
      </c>
      <c r="Z175" s="8">
        <v>25000</v>
      </c>
      <c r="AA175" s="8">
        <v>25000</v>
      </c>
      <c r="AB175" s="8">
        <v>25000</v>
      </c>
      <c r="AC175" s="8">
        <v>25000</v>
      </c>
      <c r="AD175" s="8">
        <v>25000</v>
      </c>
      <c r="AE175" s="8">
        <v>25000</v>
      </c>
      <c r="AF175" s="8">
        <v>25000</v>
      </c>
      <c r="AG175" s="8">
        <v>25000</v>
      </c>
      <c r="AH175" s="8">
        <v>25000</v>
      </c>
      <c r="AI175" s="8">
        <v>25000</v>
      </c>
      <c r="AJ175" s="8">
        <v>25000</v>
      </c>
      <c r="AK175" s="8">
        <v>25000</v>
      </c>
      <c r="AL175" s="8">
        <v>25000</v>
      </c>
      <c r="AM175" s="8">
        <v>25000</v>
      </c>
    </row>
    <row r="176" spans="1:39">
      <c r="A176" s="7" t="s">
        <v>176</v>
      </c>
      <c r="B176" s="7" t="s">
        <v>223</v>
      </c>
      <c r="C176" s="8">
        <v>250000</v>
      </c>
      <c r="D176" s="8">
        <v>250000</v>
      </c>
      <c r="E176" s="8">
        <v>250000</v>
      </c>
      <c r="F176" s="8">
        <v>250000</v>
      </c>
      <c r="G176" s="8">
        <v>250000</v>
      </c>
      <c r="H176" s="8">
        <v>250000</v>
      </c>
      <c r="I176" s="8">
        <v>250000</v>
      </c>
      <c r="J176" s="8">
        <v>250000</v>
      </c>
      <c r="K176" s="8">
        <v>250000</v>
      </c>
      <c r="L176" s="8">
        <v>250000</v>
      </c>
      <c r="M176" s="8">
        <v>250000</v>
      </c>
      <c r="N176" s="8">
        <v>250000</v>
      </c>
      <c r="O176" s="8">
        <v>250000</v>
      </c>
      <c r="P176" s="8">
        <v>250000</v>
      </c>
      <c r="Q176" s="8">
        <v>250000</v>
      </c>
      <c r="R176" s="8">
        <v>250000</v>
      </c>
      <c r="S176" s="8">
        <v>250000</v>
      </c>
      <c r="T176" s="8">
        <v>250000</v>
      </c>
      <c r="U176" s="8">
        <v>250000</v>
      </c>
      <c r="V176" s="8">
        <v>250000</v>
      </c>
      <c r="W176" s="8">
        <v>250000</v>
      </c>
      <c r="X176" s="8">
        <v>250000</v>
      </c>
      <c r="Y176" s="8">
        <v>250000</v>
      </c>
      <c r="Z176" s="8">
        <v>250000</v>
      </c>
      <c r="AA176" s="8">
        <v>250000</v>
      </c>
      <c r="AB176" s="8">
        <v>250000</v>
      </c>
      <c r="AC176" s="8">
        <v>250000</v>
      </c>
      <c r="AD176" s="8">
        <v>250000</v>
      </c>
      <c r="AE176" s="8">
        <v>250000</v>
      </c>
      <c r="AF176" s="8">
        <v>250000</v>
      </c>
      <c r="AG176" s="8">
        <v>250000</v>
      </c>
      <c r="AH176" s="8">
        <v>250000</v>
      </c>
      <c r="AI176" s="8">
        <v>250000</v>
      </c>
      <c r="AJ176" s="8">
        <v>250000</v>
      </c>
      <c r="AK176" s="8">
        <v>250000</v>
      </c>
      <c r="AL176" s="8">
        <v>250000</v>
      </c>
      <c r="AM176" s="8">
        <v>250000</v>
      </c>
    </row>
    <row r="177" spans="1:39">
      <c r="A177" s="7" t="s">
        <v>176</v>
      </c>
      <c r="B177" s="7" t="s">
        <v>224</v>
      </c>
      <c r="C177" s="8">
        <v>75000</v>
      </c>
      <c r="D177" s="8">
        <v>75000</v>
      </c>
      <c r="E177" s="8">
        <v>75000</v>
      </c>
      <c r="F177" s="8">
        <v>75000</v>
      </c>
      <c r="G177" s="8">
        <v>75000</v>
      </c>
      <c r="H177" s="8">
        <v>75000</v>
      </c>
      <c r="I177" s="8">
        <v>75000</v>
      </c>
      <c r="J177" s="8">
        <v>75000</v>
      </c>
      <c r="K177" s="8">
        <v>75000</v>
      </c>
      <c r="L177" s="8">
        <v>75000</v>
      </c>
      <c r="M177" s="8">
        <v>75000</v>
      </c>
      <c r="N177" s="8">
        <v>75000</v>
      </c>
      <c r="O177" s="8">
        <v>75000</v>
      </c>
      <c r="P177" s="8">
        <v>75000</v>
      </c>
      <c r="Q177" s="8">
        <v>75000</v>
      </c>
      <c r="R177" s="8">
        <v>75000</v>
      </c>
      <c r="S177" s="8">
        <v>75000</v>
      </c>
      <c r="T177" s="8">
        <v>75000</v>
      </c>
      <c r="U177" s="8">
        <v>75000</v>
      </c>
      <c r="V177" s="8">
        <v>75000</v>
      </c>
      <c r="W177" s="8">
        <v>75000</v>
      </c>
      <c r="X177" s="8">
        <v>75000</v>
      </c>
      <c r="Y177" s="8">
        <v>75000</v>
      </c>
      <c r="Z177" s="8">
        <v>75000</v>
      </c>
      <c r="AA177" s="8">
        <v>75000</v>
      </c>
      <c r="AB177" s="8">
        <v>75000</v>
      </c>
      <c r="AC177" s="8">
        <v>75000</v>
      </c>
      <c r="AD177" s="8">
        <v>75000</v>
      </c>
      <c r="AE177" s="8">
        <v>75000</v>
      </c>
      <c r="AF177" s="8">
        <v>75000</v>
      </c>
      <c r="AG177" s="8">
        <v>75000</v>
      </c>
      <c r="AH177" s="8">
        <v>75000</v>
      </c>
      <c r="AI177" s="8">
        <v>75000</v>
      </c>
      <c r="AJ177" s="8">
        <v>75000</v>
      </c>
      <c r="AK177" s="8">
        <v>75000</v>
      </c>
      <c r="AL177" s="8">
        <v>75000</v>
      </c>
      <c r="AM177" s="8">
        <v>75000</v>
      </c>
    </row>
    <row r="178" spans="1:39">
      <c r="A178" s="7" t="s">
        <v>176</v>
      </c>
      <c r="B178" s="7" t="s">
        <v>225</v>
      </c>
      <c r="C178" s="8">
        <v>100000</v>
      </c>
      <c r="D178" s="8">
        <v>100000</v>
      </c>
      <c r="E178" s="8">
        <v>100000</v>
      </c>
      <c r="F178" s="8">
        <v>100000</v>
      </c>
      <c r="G178" s="8">
        <v>100000</v>
      </c>
      <c r="H178" s="8">
        <v>100000</v>
      </c>
      <c r="I178" s="8">
        <v>100000</v>
      </c>
      <c r="J178" s="8">
        <v>100000</v>
      </c>
      <c r="K178" s="8">
        <v>100000</v>
      </c>
      <c r="L178" s="8">
        <v>100000</v>
      </c>
      <c r="M178" s="8">
        <v>100000</v>
      </c>
      <c r="N178" s="8">
        <v>100000</v>
      </c>
      <c r="O178" s="8">
        <v>100000</v>
      </c>
      <c r="P178" s="8">
        <v>100000</v>
      </c>
      <c r="Q178" s="8">
        <v>100000</v>
      </c>
      <c r="R178" s="8">
        <v>100000</v>
      </c>
      <c r="S178" s="8">
        <v>100000</v>
      </c>
      <c r="T178" s="8">
        <v>100000</v>
      </c>
      <c r="U178" s="8">
        <v>100000</v>
      </c>
      <c r="V178" s="8">
        <v>100000</v>
      </c>
      <c r="W178" s="8">
        <v>100000</v>
      </c>
      <c r="X178" s="8">
        <v>100000</v>
      </c>
      <c r="Y178" s="8">
        <v>100000</v>
      </c>
      <c r="Z178" s="8">
        <v>100000</v>
      </c>
      <c r="AA178" s="8">
        <v>100000</v>
      </c>
      <c r="AB178" s="8">
        <v>100000</v>
      </c>
      <c r="AC178" s="8">
        <v>100000</v>
      </c>
      <c r="AD178" s="8">
        <v>100000</v>
      </c>
      <c r="AE178" s="8">
        <v>100000</v>
      </c>
      <c r="AF178" s="8">
        <v>100000</v>
      </c>
      <c r="AG178" s="8">
        <v>100000</v>
      </c>
      <c r="AH178" s="8">
        <v>100000</v>
      </c>
      <c r="AI178" s="8">
        <v>100000</v>
      </c>
      <c r="AJ178" s="8">
        <v>100000</v>
      </c>
      <c r="AK178" s="8">
        <v>100000</v>
      </c>
      <c r="AL178" s="8">
        <v>100000</v>
      </c>
      <c r="AM178" s="8">
        <v>100000</v>
      </c>
    </row>
    <row r="179" spans="1:39">
      <c r="A179" s="7" t="s">
        <v>176</v>
      </c>
      <c r="B179" s="7" t="s">
        <v>226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>
        <v>100000</v>
      </c>
      <c r="T179" s="8">
        <v>100000</v>
      </c>
      <c r="U179" s="8">
        <v>100000</v>
      </c>
      <c r="V179" s="8">
        <v>100000</v>
      </c>
      <c r="W179" s="8">
        <v>100000</v>
      </c>
      <c r="X179" s="8">
        <v>100000</v>
      </c>
      <c r="Y179" s="8">
        <v>100000</v>
      </c>
      <c r="Z179" s="8">
        <v>100000</v>
      </c>
      <c r="AA179" s="8">
        <v>100000</v>
      </c>
      <c r="AB179" s="8">
        <v>100000</v>
      </c>
      <c r="AC179" s="8">
        <v>100000</v>
      </c>
      <c r="AD179" s="8">
        <v>100000</v>
      </c>
      <c r="AE179" s="8">
        <v>100000</v>
      </c>
      <c r="AF179" s="8">
        <v>100000</v>
      </c>
      <c r="AG179" s="8">
        <v>100000</v>
      </c>
      <c r="AH179" s="8">
        <v>100000</v>
      </c>
      <c r="AI179" s="8">
        <v>100000</v>
      </c>
      <c r="AJ179" s="8">
        <v>100000</v>
      </c>
      <c r="AK179" s="8">
        <v>100000</v>
      </c>
      <c r="AL179" s="8">
        <v>100000</v>
      </c>
      <c r="AM179" s="8">
        <v>100000</v>
      </c>
    </row>
    <row r="180" spans="1:39">
      <c r="A180" s="7" t="s">
        <v>176</v>
      </c>
      <c r="B180" s="7" t="s">
        <v>227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>
        <v>35000</v>
      </c>
      <c r="Y180" s="8">
        <v>35000</v>
      </c>
      <c r="Z180" s="8">
        <v>35000</v>
      </c>
      <c r="AA180" s="8">
        <v>35000</v>
      </c>
      <c r="AB180" s="8">
        <v>35000</v>
      </c>
      <c r="AC180" s="8">
        <v>35000</v>
      </c>
      <c r="AD180" s="8">
        <v>35000</v>
      </c>
      <c r="AE180" s="8">
        <v>35000</v>
      </c>
      <c r="AF180" s="8">
        <v>35000</v>
      </c>
      <c r="AG180" s="8">
        <v>35000</v>
      </c>
      <c r="AH180" s="8">
        <v>35000</v>
      </c>
      <c r="AI180" s="8">
        <v>35000</v>
      </c>
      <c r="AJ180" s="8">
        <v>35000</v>
      </c>
      <c r="AK180" s="8">
        <v>35000</v>
      </c>
      <c r="AL180" s="8">
        <v>35000</v>
      </c>
      <c r="AM180" s="8">
        <v>35000</v>
      </c>
    </row>
    <row r="181" spans="1:39">
      <c r="A181" s="7" t="s">
        <v>176</v>
      </c>
      <c r="B181" s="7" t="s">
        <v>228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>
        <v>37000</v>
      </c>
      <c r="AI181" s="8">
        <v>37000</v>
      </c>
      <c r="AJ181" s="8">
        <v>37000</v>
      </c>
      <c r="AK181" s="8">
        <v>37000</v>
      </c>
      <c r="AL181" s="8">
        <v>37000</v>
      </c>
      <c r="AM181" s="8">
        <v>37000</v>
      </c>
    </row>
    <row r="182" spans="1:39">
      <c r="A182" s="7" t="s">
        <v>176</v>
      </c>
      <c r="B182" s="7" t="s">
        <v>229</v>
      </c>
      <c r="C182" s="8">
        <v>6376.68</v>
      </c>
      <c r="D182" s="8">
        <v>-172909.64</v>
      </c>
      <c r="E182" s="8">
        <v>-321991.78999999998</v>
      </c>
      <c r="F182" s="8">
        <v>-412498.9</v>
      </c>
      <c r="G182" s="8">
        <v>-506340.48</v>
      </c>
      <c r="H182" s="8">
        <v>-602517.87</v>
      </c>
      <c r="I182" s="8">
        <v>-663245.68999999994</v>
      </c>
      <c r="J182" s="8">
        <v>-714601.62</v>
      </c>
      <c r="K182" s="8">
        <v>-724544.93</v>
      </c>
      <c r="L182" s="8">
        <v>-846420.71</v>
      </c>
      <c r="M182" s="8">
        <v>-995468.99</v>
      </c>
      <c r="N182" s="8">
        <v>-1095530.1299999999</v>
      </c>
      <c r="O182" s="8">
        <v>-110067.48</v>
      </c>
      <c r="P182" s="8">
        <v>-220633.88</v>
      </c>
      <c r="Q182" s="8">
        <v>-129853.51</v>
      </c>
      <c r="R182" s="8">
        <v>-112624.23</v>
      </c>
      <c r="S182" s="8">
        <v>-181744.23</v>
      </c>
      <c r="T182" s="8">
        <v>-229672.46</v>
      </c>
      <c r="U182" s="8">
        <v>-196135.21</v>
      </c>
      <c r="V182" s="8">
        <v>-200260.27</v>
      </c>
      <c r="W182" s="8">
        <v>-306278.53999999998</v>
      </c>
      <c r="X182" s="8">
        <v>-364395.74</v>
      </c>
      <c r="Y182" s="8">
        <v>-385134.88</v>
      </c>
      <c r="Z182" s="8">
        <v>-560895.55000000005</v>
      </c>
      <c r="AA182" s="8">
        <v>-69337.08</v>
      </c>
      <c r="AB182" s="8">
        <v>-142090.51999999999</v>
      </c>
      <c r="AC182" s="8">
        <v>-209514.55</v>
      </c>
      <c r="AD182" s="8">
        <v>-324931.8</v>
      </c>
      <c r="AE182" s="8">
        <v>-357606.24</v>
      </c>
      <c r="AF182" s="8">
        <v>-416484.96</v>
      </c>
      <c r="AG182" s="8">
        <v>-457811.59</v>
      </c>
      <c r="AH182" s="8">
        <v>-619785.43000000005</v>
      </c>
      <c r="AI182" s="8">
        <v>-651031.39</v>
      </c>
      <c r="AJ182" s="8">
        <v>-757163.4</v>
      </c>
      <c r="AK182" s="8">
        <v>-832109.5</v>
      </c>
      <c r="AL182" s="8">
        <v>-840359.89</v>
      </c>
      <c r="AM182" s="8">
        <v>121855.72</v>
      </c>
    </row>
    <row r="183" spans="1:39">
      <c r="A183" s="7" t="s">
        <v>176</v>
      </c>
      <c r="B183" s="7" t="s">
        <v>230</v>
      </c>
      <c r="C183" s="8">
        <v>-1045936.51</v>
      </c>
      <c r="D183" s="8">
        <v>-1045936.51</v>
      </c>
      <c r="E183" s="8">
        <v>-1045936.51</v>
      </c>
      <c r="F183" s="8">
        <v>-1045936.51</v>
      </c>
      <c r="G183" s="8">
        <v>-1045936.51</v>
      </c>
      <c r="H183" s="8">
        <v>-1045936.51</v>
      </c>
      <c r="I183" s="8">
        <v>-1045936.51</v>
      </c>
      <c r="J183" s="8">
        <v>-1045936.51</v>
      </c>
      <c r="K183" s="8">
        <v>-1045936.51</v>
      </c>
      <c r="L183" s="8">
        <v>-1045936.51</v>
      </c>
      <c r="M183" s="8">
        <v>-1045936.51</v>
      </c>
      <c r="N183" s="8">
        <v>-1045936.51</v>
      </c>
      <c r="O183" s="8">
        <v>-2141466.64</v>
      </c>
      <c r="P183" s="8">
        <v>-2141466.64</v>
      </c>
      <c r="Q183" s="8">
        <v>-2141466.64</v>
      </c>
      <c r="R183" s="8">
        <v>-2141466.64</v>
      </c>
      <c r="S183" s="8">
        <v>-2141466.64</v>
      </c>
      <c r="T183" s="8">
        <v>-2141466.64</v>
      </c>
      <c r="U183" s="8">
        <v>-2141466.64</v>
      </c>
      <c r="V183" s="8">
        <v>-2141466.64</v>
      </c>
      <c r="W183" s="8">
        <v>-2141466.64</v>
      </c>
      <c r="X183" s="8">
        <v>-2141466.64</v>
      </c>
      <c r="Y183" s="8">
        <v>-2141466.64</v>
      </c>
      <c r="Z183" s="8">
        <v>-2141466.64</v>
      </c>
      <c r="AA183" s="8">
        <v>-3203353.6</v>
      </c>
      <c r="AB183" s="8">
        <v>-3203353.6</v>
      </c>
      <c r="AC183" s="8">
        <v>-3203353.6</v>
      </c>
      <c r="AD183" s="8">
        <v>-3203353.6</v>
      </c>
      <c r="AE183" s="8">
        <v>-3203353.6</v>
      </c>
      <c r="AF183" s="8">
        <v>-3203353.6</v>
      </c>
      <c r="AG183" s="8">
        <v>-3203353.6</v>
      </c>
      <c r="AH183" s="8">
        <v>-3203353.6</v>
      </c>
      <c r="AI183" s="8">
        <v>-3203353.6</v>
      </c>
      <c r="AJ183" s="8">
        <v>-3203353.6</v>
      </c>
      <c r="AK183" s="8">
        <v>-3203353.6</v>
      </c>
      <c r="AL183" s="8">
        <v>-3203353.6</v>
      </c>
      <c r="AM183" s="8">
        <v>-4043713.49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2025-04-23T13:30:11Z</dcterms:modified>
</cp:coreProperties>
</file>