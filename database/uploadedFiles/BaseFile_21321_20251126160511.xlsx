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8790" windowHeight="3170"/>
  </bookViews>
  <sheets>
    <sheet name="Financial 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4" i="1" l="1"/>
  <c r="K34" i="1"/>
  <c r="J34" i="1"/>
  <c r="I34" i="1"/>
  <c r="H34" i="1"/>
  <c r="G34" i="1"/>
  <c r="F34" i="1"/>
  <c r="E34" i="1"/>
  <c r="D34" i="1"/>
  <c r="C34" i="1"/>
</calcChain>
</file>

<file path=xl/sharedStrings.xml><?xml version="1.0" encoding="utf-8"?>
<sst xmlns="http://schemas.openxmlformats.org/spreadsheetml/2006/main" count="165" uniqueCount="112">
  <si>
    <t>Company Name:</t>
  </si>
  <si>
    <t/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</si>
  <si>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</si>
  <si>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</si>
  <si>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</si>
  <si>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</si>
  <si>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</si>
  <si>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</si>
  <si>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</si>
  <si>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</si>
  <si>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</si>
  <si>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</si>
  <si>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</si>
  <si>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</si>
  <si>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</si>
  <si>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Cost of Sales</t>
  </si>
  <si>
    <t>VCOS</t>
  </si>
  <si>
    <t>Expenses</t>
  </si>
  <si>
    <t>FEXP</t>
  </si>
  <si>
    <t>Automobile Expense</t>
  </si>
  <si>
    <t>Office Supplies</t>
  </si>
  <si>
    <t>Payroll Expenses</t>
  </si>
  <si>
    <t>Professional Fees</t>
  </si>
  <si>
    <t>Utilities</t>
  </si>
  <si>
    <t>Other Income</t>
  </si>
  <si>
    <t>IINC</t>
  </si>
  <si>
    <t>AINC</t>
  </si>
  <si>
    <t>Other Expenses</t>
  </si>
  <si>
    <t>IEXP</t>
  </si>
  <si>
    <t>Interest Expense</t>
  </si>
  <si>
    <t>Current Assets</t>
  </si>
  <si>
    <t>CASH</t>
  </si>
  <si>
    <t>OCA</t>
  </si>
  <si>
    <t>Sales Clearing</t>
  </si>
  <si>
    <t>Non-Current Assets</t>
  </si>
  <si>
    <t>FA</t>
  </si>
  <si>
    <t>Accumulated Depreciation</t>
  </si>
  <si>
    <t>Furniture and Equipment</t>
  </si>
  <si>
    <t>Current Liabilities</t>
  </si>
  <si>
    <t>OCL</t>
  </si>
  <si>
    <t>Payroll Liabilities</t>
  </si>
  <si>
    <t>Sales Tax Payable</t>
  </si>
  <si>
    <t>Non-Current Liabilities</t>
  </si>
  <si>
    <t>LTD</t>
  </si>
  <si>
    <t>SBA EIDL Loan</t>
  </si>
  <si>
    <t>Equity</t>
  </si>
  <si>
    <t>RE</t>
  </si>
  <si>
    <t>Retained Earnings</t>
  </si>
  <si>
    <t>CE</t>
  </si>
  <si>
    <t>Net Income</t>
  </si>
  <si>
    <t>OEQ</t>
  </si>
  <si>
    <t>Retail Sales Income [Clover]</t>
  </si>
  <si>
    <t>Retail Sales Income [DoorDash]</t>
  </si>
  <si>
    <t>Retail Sales Income [Woo]</t>
  </si>
  <si>
    <t>COGS - Packaging</t>
  </si>
  <si>
    <t>COGS - Products</t>
  </si>
  <si>
    <t>COGS - Raw Ingredients</t>
  </si>
  <si>
    <t>Rent</t>
  </si>
  <si>
    <t>Insurance - Business</t>
  </si>
  <si>
    <t>IT Expense - SAAS</t>
  </si>
  <si>
    <t>Merchant Fees</t>
  </si>
  <si>
    <t>Repairs, Maintenance</t>
  </si>
  <si>
    <t>Supplies, Materials</t>
  </si>
  <si>
    <t>Bank Fees</t>
  </si>
  <si>
    <t>Charity</t>
  </si>
  <si>
    <t>Dues, Subscriptions</t>
  </si>
  <si>
    <t>License, Permits</t>
  </si>
  <si>
    <t>Telephone Expense</t>
  </si>
  <si>
    <t>Payroll Tax</t>
  </si>
  <si>
    <t>Salaries &amp; Wages</t>
  </si>
  <si>
    <t>Sales &amp; Marketing</t>
  </si>
  <si>
    <t>Travel &amp; Meals</t>
  </si>
  <si>
    <t>Interest Earned</t>
  </si>
  <si>
    <t>Other income</t>
  </si>
  <si>
    <t>Depreciation Expense</t>
  </si>
  <si>
    <t>DA</t>
  </si>
  <si>
    <t>Bank Accounts</t>
  </si>
  <si>
    <t>Cash Clearing</t>
  </si>
  <si>
    <t>DoorDash Clearing</t>
  </si>
  <si>
    <t>ERTC Receivable</t>
  </si>
  <si>
    <t>Inventory Asset</t>
  </si>
  <si>
    <t>Prepaid Insurance</t>
  </si>
  <si>
    <t>Rise Alliance - Escrow</t>
  </si>
  <si>
    <t>Square Clearing</t>
  </si>
  <si>
    <t>Uncategorized Asset</t>
  </si>
  <si>
    <t>Undeposited Funds</t>
  </si>
  <si>
    <t>Woo Commerce/Authorize.net Clearing</t>
  </si>
  <si>
    <t>Auto</t>
  </si>
  <si>
    <t>The Treat Bar (Shoreline)</t>
  </si>
  <si>
    <t>Totem Lake</t>
  </si>
  <si>
    <t>Treat Shop - TI</t>
  </si>
  <si>
    <t>Shoreline Bakery Deposit</t>
  </si>
  <si>
    <t>ONCA</t>
  </si>
  <si>
    <t>Gift Card Unredeemed</t>
  </si>
  <si>
    <t>Intuit/Web Bank Loan</t>
  </si>
  <si>
    <t>JP Morgan Chase-Car</t>
  </si>
  <si>
    <t>Loan Payable - D. Ford</t>
  </si>
  <si>
    <t>Buster</t>
  </si>
  <si>
    <t>Shoreline Barkery</t>
  </si>
  <si>
    <t>Treat Shop - Sq Loan-Treatshop 2/8/2024</t>
  </si>
  <si>
    <t>Flex Loan</t>
  </si>
  <si>
    <t>Member Distribution</t>
  </si>
  <si>
    <t>Members Contribution</t>
  </si>
  <si>
    <t>Owner Equity</t>
  </si>
  <si>
    <t>Credit Cards - Citi Bank CC (5366)</t>
  </si>
  <si>
    <t>Aug 2025</t>
  </si>
  <si>
    <t>TEXP</t>
  </si>
  <si>
    <t>Taxes</t>
  </si>
  <si>
    <t>Accrued expenses</t>
  </si>
  <si>
    <t>Sep 2025</t>
  </si>
  <si>
    <t>Oct 2025</t>
  </si>
  <si>
    <t>Test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</si>
</sst>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₹&quot;#,##0;&quot;(&quot;&quot;₹&quot;#,##0&quot;)&quot;"/>
    <numFmt numFmtId="165" formatCode="&quot;$&quot;#,##0;&quot;(&quot;&quot;$&quot;#,##0&quot;)&quot;"/>
    <numFmt numFmtId="166" formatCode="mmm\ yyyy"/>
    <numFmt numFmtId="167" formatCode="#,##0.00\ _€"/>
  </numFmts>
  <fonts count="6" x14ac:knownFonts="1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0" fontId="3" fillId="2" borderId="0" xfId="8">
      <alignment horizontal="right"/>
    </xf>
    <xf numFmtId="0" fontId="4" fillId="3" borderId="0" xfId="5" applyFont="1">
      <alignment horizontal="left"/>
    </xf>
    <xf numFmtId="165" fontId="2" fillId="0" borderId="0" xfId="6" applyNumberFormat="1">
      <alignment horizontal="right"/>
    </xf>
    <xf numFmtId="165" fontId="3" fillId="0" borderId="1" xfId="4" applyNumberFormat="1">
      <alignment horizontal="right"/>
    </xf>
    <xf numFmtId="165" fontId="0" fillId="0" borderId="0" xfId="0" applyNumberFormat="1"/>
    <xf numFmtId="165" fontId="4" fillId="0" borderId="0" xfId="6" applyNumberFormat="1" applyFont="1">
      <alignment horizontal="right"/>
    </xf>
    <xf numFmtId="166" fontId="3" fillId="2" borderId="1" xfId="7" quotePrefix="1" applyNumberFormat="1">
      <alignment horizontal="right" wrapText="1"/>
    </xf>
    <xf numFmtId="0" fontId="2" fillId="3" borderId="1" xfId="3" applyFont="1">
      <alignment horizontal="left"/>
    </xf>
    <xf numFmtId="165" fontId="2" fillId="0" borderId="1" xfId="4" applyNumberFormat="1" applyFont="1">
      <alignment horizontal="right"/>
    </xf>
    <xf numFmtId="167" fontId="5" fillId="0" borderId="0" xfId="0" applyNumberFormat="1" applyFont="1" applyAlignment="1">
      <alignment horizontal="right" wrapText="1"/>
    </xf>
  </cellXfs>
  <cellStyles count="9">
    <cellStyle name="$@:0x000000::false:right:false:0:false0" xfId="6"/>
    <cellStyle name="$@:0x000000::true:right:false:0:false0" xfId="4"/>
    <cellStyle name="::#dce6f2:false:right:false:0:false0" xfId="1"/>
    <cellStyle name="::#dce6f2:true:left:false:0:false0" xfId="2"/>
    <cellStyle name="::#dce6f2:true:right:false:0:true0" xfId="7"/>
    <cellStyle name="::#dce6f2:true:right:true:0:false0" xfId="8"/>
    <cellStyle name="::#ebf1de:false:left:false:0:false0" xfId="5"/>
    <cellStyle name="::#ebf1de:true:left:false:0:false0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Views>
    <sheetView tabSelected="1" zoomScale="81" workbookViewId="0">
      <pane xSplit="2" ySplit="5" topLeftCell="F19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defaultRowHeight="14.5" x14ac:dyDescent="0.35"/>
  <cols>
    <col min="1" max="1" width="18.1796875" customWidth="1"/>
    <col min="2" max="2" width="40.81640625" bestFit="1" customWidth="1"/>
    <col min="3" max="10" width="20" customWidth="1"/>
    <col min="11" max="12" width="9.54296875" bestFit="1" customWidth="1"/>
  </cols>
  <sheetData>
    <row r="1" spans="1:12" s="1" customFormat="1" x14ac:dyDescent="0.35">
      <c r="A1" s="3" t="s">
        <v>0</v>
      </c>
      <c r="B1" s="2" t="s">
        <v>111</v>
      </c>
      <c r="C1" s="9" t="s">
        <v>1</v>
      </c>
    </row>
    <row r="2" spans="1:12" s="1" customFormat="1" x14ac:dyDescent="0.35">
      <c r="A2" s="3" t="s">
        <v>2</v>
      </c>
      <c r="B2" s="2" t="s">
        <v>3</v>
      </c>
    </row>
    <row r="3" spans="1:12" s="1" customFormat="1" x14ac:dyDescent="0.35"/>
    <row r="4" spans="1:12" s="1" customFormat="1" x14ac:dyDescent="0.35"/>
    <row r="5" spans="1:12" s="1" customFormat="1" x14ac:dyDescent="0.35">
      <c r="A5" s="4" t="s">
        <v>4</v>
      </c>
      <c r="B5" s="4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15" t="s">
        <v>105</v>
      </c>
      <c r="K5" s="15" t="s">
        <v>109</v>
      </c>
      <c r="L5" s="15" t="s">
        <v>110</v>
      </c>
    </row>
    <row r="6" spans="1:12" x14ac:dyDescent="0.35">
      <c r="A6" s="5"/>
      <c r="B6" s="5" t="s">
        <v>13</v>
      </c>
      <c r="C6" s="6"/>
      <c r="D6" s="6"/>
      <c r="E6" s="6"/>
      <c r="F6" s="6"/>
      <c r="G6" s="6"/>
      <c r="H6" s="6"/>
      <c r="I6" s="6"/>
      <c r="J6" s="6"/>
    </row>
    <row r="7" spans="1:12" x14ac:dyDescent="0.35">
      <c r="A7" s="7" t="s">
        <v>14</v>
      </c>
      <c r="B7" s="7" t="s">
        <v>51</v>
      </c>
      <c r="C7" s="11">
        <v>41716.61</v>
      </c>
      <c r="D7" s="11">
        <v>45916.66</v>
      </c>
      <c r="E7" s="11">
        <v>48993.37</v>
      </c>
      <c r="F7" s="11">
        <v>47055.78</v>
      </c>
      <c r="G7" s="11">
        <v>47122.79</v>
      </c>
      <c r="H7" s="11">
        <v>41837.279999999999</v>
      </c>
      <c r="I7" s="11">
        <v>41227.35</v>
      </c>
      <c r="J7" s="11">
        <v>42458.59</v>
      </c>
      <c r="K7" s="11">
        <v>38006.870000000003</v>
      </c>
      <c r="L7" s="11">
        <v>41129.839999999997</v>
      </c>
    </row>
    <row r="8" spans="1:12" x14ac:dyDescent="0.35">
      <c r="A8" s="7" t="s">
        <v>14</v>
      </c>
      <c r="B8" s="7" t="s">
        <v>52</v>
      </c>
      <c r="C8" s="11">
        <v>1324.5</v>
      </c>
      <c r="D8" s="11">
        <v>1017.25</v>
      </c>
      <c r="E8" s="11">
        <v>1110.5</v>
      </c>
      <c r="F8" s="11">
        <v>983.94</v>
      </c>
      <c r="G8" s="11">
        <v>1022</v>
      </c>
      <c r="H8" s="11">
        <v>1054.5</v>
      </c>
      <c r="I8" s="11">
        <v>2098.5</v>
      </c>
      <c r="J8" s="11">
        <v>814</v>
      </c>
      <c r="K8" s="11">
        <v>1175.5</v>
      </c>
      <c r="L8" s="11">
        <v>1037</v>
      </c>
    </row>
    <row r="9" spans="1:12" x14ac:dyDescent="0.35">
      <c r="A9" s="7" t="s">
        <v>14</v>
      </c>
      <c r="B9" s="7" t="s">
        <v>53</v>
      </c>
      <c r="C9" s="11">
        <v>6207.09</v>
      </c>
      <c r="D9" s="11">
        <v>8873.0300000000007</v>
      </c>
      <c r="E9" s="11">
        <v>9307.4599999999991</v>
      </c>
      <c r="F9" s="11">
        <v>10396.81</v>
      </c>
      <c r="G9" s="11">
        <v>8902.5</v>
      </c>
      <c r="H9" s="11">
        <v>6954.15</v>
      </c>
      <c r="I9" s="11">
        <v>6461.85</v>
      </c>
      <c r="J9" s="11">
        <v>6763.61</v>
      </c>
      <c r="K9" s="11">
        <v>7513.8</v>
      </c>
      <c r="L9" s="11">
        <v>5855.49</v>
      </c>
    </row>
    <row r="10" spans="1:12" x14ac:dyDescent="0.35">
      <c r="A10" s="5"/>
      <c r="B10" s="5" t="s">
        <v>15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35">
      <c r="A11" s="7" t="s">
        <v>16</v>
      </c>
      <c r="B11" s="7" t="s">
        <v>54</v>
      </c>
      <c r="C11" s="11">
        <v>602.63</v>
      </c>
      <c r="D11" s="11">
        <v>1067.3699999999999</v>
      </c>
      <c r="E11" s="11">
        <v>397.44</v>
      </c>
      <c r="F11" s="11">
        <v>1119.8800000000001</v>
      </c>
      <c r="G11" s="11">
        <v>396.34</v>
      </c>
      <c r="H11" s="11">
        <v>552.66999999999996</v>
      </c>
      <c r="I11" s="11">
        <v>208.66</v>
      </c>
      <c r="J11" s="11">
        <v>975.49</v>
      </c>
      <c r="K11" s="11">
        <v>422.99</v>
      </c>
      <c r="L11" s="11">
        <v>364.3</v>
      </c>
    </row>
    <row r="12" spans="1:12" x14ac:dyDescent="0.35">
      <c r="A12" s="7" t="s">
        <v>16</v>
      </c>
      <c r="B12" s="7" t="s">
        <v>55</v>
      </c>
      <c r="C12" s="11">
        <v>21987.91</v>
      </c>
      <c r="D12" s="11">
        <v>11693.89</v>
      </c>
      <c r="E12" s="11">
        <v>17274.53</v>
      </c>
      <c r="F12" s="11">
        <v>17655.09</v>
      </c>
      <c r="G12" s="11">
        <v>16054.44</v>
      </c>
      <c r="H12" s="11">
        <v>18853.66</v>
      </c>
      <c r="I12" s="11">
        <v>11111.71</v>
      </c>
      <c r="J12" s="11">
        <v>14363.44</v>
      </c>
      <c r="K12" s="11">
        <v>9912.25</v>
      </c>
      <c r="L12" s="11">
        <v>12552.92</v>
      </c>
    </row>
    <row r="13" spans="1:12" x14ac:dyDescent="0.35">
      <c r="A13" s="7" t="s">
        <v>16</v>
      </c>
      <c r="B13" s="7" t="s">
        <v>56</v>
      </c>
      <c r="C13" s="11">
        <v>2417.41</v>
      </c>
      <c r="D13" s="11">
        <v>2299.0100000000002</v>
      </c>
      <c r="E13" s="11">
        <v>4065.08</v>
      </c>
      <c r="F13" s="11">
        <v>4337.45</v>
      </c>
      <c r="G13" s="11">
        <v>3767.9</v>
      </c>
      <c r="H13" s="11">
        <v>3774.34</v>
      </c>
      <c r="I13" s="11">
        <v>3142.55</v>
      </c>
      <c r="J13" s="11">
        <v>4751.1000000000004</v>
      </c>
      <c r="K13" s="11">
        <v>3081.47</v>
      </c>
      <c r="L13" s="11">
        <v>3858.76</v>
      </c>
    </row>
    <row r="14" spans="1:12" x14ac:dyDescent="0.35">
      <c r="A14" s="5"/>
      <c r="B14" s="5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x14ac:dyDescent="0.35">
      <c r="A15" s="7" t="s">
        <v>18</v>
      </c>
      <c r="B15" s="7" t="s">
        <v>19</v>
      </c>
      <c r="C15" s="11">
        <v>298.58</v>
      </c>
      <c r="D15" s="11">
        <v>773.03</v>
      </c>
      <c r="E15" s="11">
        <v>45.75</v>
      </c>
      <c r="F15" s="11">
        <v>1606.04</v>
      </c>
      <c r="G15" s="11">
        <v>177.14999999999998</v>
      </c>
      <c r="H15" s="11">
        <v>383.08</v>
      </c>
      <c r="I15" s="11">
        <v>173.34</v>
      </c>
      <c r="J15" s="11">
        <v>77.67</v>
      </c>
      <c r="K15" s="11">
        <v>145.29000000000002</v>
      </c>
      <c r="L15" s="11">
        <v>474.2</v>
      </c>
    </row>
    <row r="16" spans="1:12" x14ac:dyDescent="0.35">
      <c r="A16" s="7" t="s">
        <v>18</v>
      </c>
      <c r="B16" s="7" t="s">
        <v>57</v>
      </c>
      <c r="C16" s="11">
        <v>5506</v>
      </c>
      <c r="D16" s="11">
        <v>5996.91</v>
      </c>
      <c r="E16" s="11">
        <v>2886</v>
      </c>
      <c r="F16" s="11">
        <v>3011.8</v>
      </c>
      <c r="G16" s="11">
        <v>2886</v>
      </c>
      <c r="H16" s="11">
        <v>2886</v>
      </c>
      <c r="I16" s="11">
        <v>2886</v>
      </c>
      <c r="J16" s="11">
        <v>2886</v>
      </c>
      <c r="K16" s="11">
        <v>2886</v>
      </c>
      <c r="L16" s="11">
        <v>1933.62</v>
      </c>
    </row>
    <row r="17" spans="1:12" x14ac:dyDescent="0.35">
      <c r="A17" s="7" t="s">
        <v>18</v>
      </c>
      <c r="B17" s="7" t="s">
        <v>23</v>
      </c>
      <c r="C17" s="11">
        <v>934.06</v>
      </c>
      <c r="D17" s="11">
        <v>5.52</v>
      </c>
      <c r="E17" s="11">
        <v>646.05999999999995</v>
      </c>
      <c r="F17" s="11">
        <v>5.52</v>
      </c>
      <c r="G17" s="11">
        <v>842.19</v>
      </c>
      <c r="H17" s="11">
        <v>605.47</v>
      </c>
      <c r="I17" s="11">
        <v>703.26</v>
      </c>
      <c r="J17" s="11">
        <v>549.46</v>
      </c>
      <c r="K17" s="11">
        <v>660.67</v>
      </c>
      <c r="L17" s="11">
        <v>373.95</v>
      </c>
    </row>
    <row r="18" spans="1:12" x14ac:dyDescent="0.35">
      <c r="A18" s="7" t="s">
        <v>18</v>
      </c>
      <c r="B18" s="7" t="s">
        <v>58</v>
      </c>
      <c r="C18" s="11">
        <v>0</v>
      </c>
      <c r="D18" s="11">
        <v>0</v>
      </c>
      <c r="E18" s="11">
        <v>350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</row>
    <row r="19" spans="1:12" x14ac:dyDescent="0.35">
      <c r="A19" s="7" t="s">
        <v>18</v>
      </c>
      <c r="B19" s="10" t="s">
        <v>59</v>
      </c>
      <c r="C19" s="11">
        <v>855.01</v>
      </c>
      <c r="D19" s="11">
        <v>236.57</v>
      </c>
      <c r="E19" s="11">
        <v>863.96</v>
      </c>
      <c r="F19" s="11">
        <v>560.62</v>
      </c>
      <c r="G19" s="11">
        <v>562.16</v>
      </c>
      <c r="H19" s="11">
        <v>571.16</v>
      </c>
      <c r="I19" s="11">
        <v>583.84</v>
      </c>
      <c r="J19" s="11">
        <v>910.32</v>
      </c>
      <c r="K19" s="11">
        <v>735.61</v>
      </c>
      <c r="L19" s="11">
        <v>906.95</v>
      </c>
    </row>
    <row r="20" spans="1:12" x14ac:dyDescent="0.35">
      <c r="A20" s="7" t="s">
        <v>18</v>
      </c>
      <c r="B20" s="7" t="s">
        <v>60</v>
      </c>
      <c r="C20" s="11">
        <v>3267.36</v>
      </c>
      <c r="D20" s="11">
        <v>2458.48</v>
      </c>
      <c r="E20" s="11">
        <v>2474.34</v>
      </c>
      <c r="F20" s="11">
        <v>3065.06</v>
      </c>
      <c r="G20" s="11">
        <v>3021.23</v>
      </c>
      <c r="H20" s="11">
        <v>2887.52</v>
      </c>
      <c r="I20" s="11">
        <v>2884.52</v>
      </c>
      <c r="J20" s="11">
        <v>2775.82</v>
      </c>
      <c r="K20" s="11">
        <v>2607.58</v>
      </c>
      <c r="L20" s="11">
        <v>2699.54</v>
      </c>
    </row>
    <row r="21" spans="1:12" x14ac:dyDescent="0.35">
      <c r="A21" s="7" t="s">
        <v>18</v>
      </c>
      <c r="B21" s="7" t="s">
        <v>61</v>
      </c>
      <c r="C21" s="11">
        <v>167.38</v>
      </c>
      <c r="D21" s="11"/>
      <c r="E21" s="11"/>
      <c r="F21" s="11"/>
      <c r="G21" s="11"/>
      <c r="H21" s="11">
        <v>238.35</v>
      </c>
      <c r="I21" s="11"/>
      <c r="J21" s="11"/>
      <c r="K21" s="11"/>
      <c r="L21" s="11"/>
    </row>
    <row r="22" spans="1:12" x14ac:dyDescent="0.35">
      <c r="A22" s="7" t="s">
        <v>18</v>
      </c>
      <c r="B22" s="7" t="s">
        <v>62</v>
      </c>
      <c r="C22" s="11">
        <v>1970.89</v>
      </c>
      <c r="D22" s="11">
        <v>839.15</v>
      </c>
      <c r="E22" s="11">
        <v>1237.68</v>
      </c>
      <c r="F22" s="11">
        <v>2073.91</v>
      </c>
      <c r="G22" s="11">
        <v>1637.26</v>
      </c>
      <c r="H22" s="11">
        <v>1374.85</v>
      </c>
      <c r="I22" s="11">
        <v>1101.6199999999999</v>
      </c>
      <c r="J22" s="11">
        <v>1401.76</v>
      </c>
      <c r="K22" s="11">
        <v>1157.82</v>
      </c>
      <c r="L22" s="11">
        <v>1287.6400000000001</v>
      </c>
    </row>
    <row r="23" spans="1:12" x14ac:dyDescent="0.35">
      <c r="A23" s="7" t="s">
        <v>18</v>
      </c>
      <c r="B23" s="7" t="s">
        <v>63</v>
      </c>
      <c r="C23" s="11">
        <v>0.76</v>
      </c>
      <c r="D23" s="11"/>
      <c r="E23" s="11"/>
      <c r="F23" s="11"/>
      <c r="G23" s="11"/>
      <c r="H23" s="11"/>
      <c r="I23" s="11"/>
      <c r="J23" s="11"/>
      <c r="K23" s="11"/>
      <c r="L23" s="11"/>
    </row>
    <row r="24" spans="1:12" x14ac:dyDescent="0.35">
      <c r="A24" s="7" t="s">
        <v>18</v>
      </c>
      <c r="B24" s="7" t="s">
        <v>64</v>
      </c>
      <c r="C24" s="11">
        <v>765</v>
      </c>
      <c r="D24" s="11">
        <v>158.75</v>
      </c>
      <c r="E24" s="11">
        <v>78.28</v>
      </c>
      <c r="F24" s="11">
        <v>51.5</v>
      </c>
      <c r="G24" s="11">
        <v>512.76</v>
      </c>
      <c r="H24" s="11"/>
      <c r="I24" s="11"/>
      <c r="J24" s="11">
        <v>10</v>
      </c>
      <c r="K24" s="11"/>
      <c r="L24" s="11">
        <v>250</v>
      </c>
    </row>
    <row r="25" spans="1:12" x14ac:dyDescent="0.35">
      <c r="A25" s="7" t="s">
        <v>18</v>
      </c>
      <c r="B25" s="7" t="s">
        <v>65</v>
      </c>
      <c r="C25" s="11">
        <v>11.01</v>
      </c>
      <c r="D25" s="11">
        <v>13.24</v>
      </c>
      <c r="E25" s="11">
        <v>13.24</v>
      </c>
      <c r="F25" s="11">
        <v>13.24</v>
      </c>
      <c r="G25" s="11">
        <v>13.24</v>
      </c>
      <c r="H25" s="11">
        <v>13.24</v>
      </c>
      <c r="I25" s="11">
        <v>38.6</v>
      </c>
      <c r="J25" s="11">
        <v>25.36</v>
      </c>
      <c r="K25" s="11">
        <v>30.88</v>
      </c>
      <c r="L25" s="11">
        <v>53.82</v>
      </c>
    </row>
    <row r="26" spans="1:12" x14ac:dyDescent="0.35">
      <c r="A26" s="7" t="s">
        <v>18</v>
      </c>
      <c r="B26" s="7" t="s">
        <v>66</v>
      </c>
      <c r="C26" s="11"/>
      <c r="D26" s="11">
        <v>540</v>
      </c>
      <c r="E26" s="11"/>
      <c r="F26" s="11"/>
      <c r="G26" s="11"/>
      <c r="H26" s="11"/>
      <c r="I26" s="11">
        <v>900</v>
      </c>
      <c r="J26" s="11">
        <v>216.75</v>
      </c>
      <c r="K26" s="11"/>
      <c r="L26" s="11">
        <v>50</v>
      </c>
    </row>
    <row r="27" spans="1:12" x14ac:dyDescent="0.35">
      <c r="A27" s="7" t="s">
        <v>18</v>
      </c>
      <c r="B27" s="7" t="s">
        <v>20</v>
      </c>
      <c r="C27" s="11">
        <v>73.27</v>
      </c>
      <c r="D27" s="11">
        <v>28.79</v>
      </c>
      <c r="E27" s="11">
        <v>126.22</v>
      </c>
      <c r="F27" s="11">
        <v>20.89</v>
      </c>
      <c r="G27" s="11">
        <v>85.97</v>
      </c>
      <c r="H27" s="11">
        <v>3.27</v>
      </c>
      <c r="I27" s="11"/>
      <c r="J27" s="11">
        <v>52.01</v>
      </c>
      <c r="K27" s="11">
        <v>39.65</v>
      </c>
      <c r="L27" s="11">
        <v>26.69</v>
      </c>
    </row>
    <row r="28" spans="1:12" x14ac:dyDescent="0.35">
      <c r="A28" s="7" t="s">
        <v>18</v>
      </c>
      <c r="B28" s="7" t="s">
        <v>67</v>
      </c>
      <c r="C28" s="11">
        <v>279.12</v>
      </c>
      <c r="D28" s="11">
        <v>308.27</v>
      </c>
      <c r="E28" s="11">
        <v>282.33</v>
      </c>
      <c r="F28" s="11">
        <v>281.01</v>
      </c>
      <c r="G28" s="11"/>
      <c r="H28" s="11"/>
      <c r="I28" s="11">
        <v>244.31</v>
      </c>
      <c r="J28" s="11">
        <v>246.17</v>
      </c>
      <c r="K28" s="11">
        <v>246.17</v>
      </c>
      <c r="L28" s="11">
        <v>492.34</v>
      </c>
    </row>
    <row r="29" spans="1:12" x14ac:dyDescent="0.35">
      <c r="A29" s="7" t="s">
        <v>18</v>
      </c>
      <c r="B29" s="7" t="s">
        <v>21</v>
      </c>
      <c r="C29" s="11">
        <v>123.64</v>
      </c>
      <c r="D29" s="11">
        <v>357.76</v>
      </c>
      <c r="E29" s="11">
        <v>123.64</v>
      </c>
      <c r="F29" s="11">
        <v>133.58000000000001</v>
      </c>
      <c r="G29" s="11">
        <v>133.58000000000001</v>
      </c>
      <c r="H29" s="11">
        <v>532.34</v>
      </c>
      <c r="I29" s="11">
        <v>133.58000000000001</v>
      </c>
      <c r="J29" s="11">
        <v>133.58000000000001</v>
      </c>
      <c r="K29" s="11">
        <v>133.58000000000001</v>
      </c>
      <c r="L29" s="11">
        <v>146.84</v>
      </c>
    </row>
    <row r="30" spans="1:12" x14ac:dyDescent="0.35">
      <c r="A30" s="7" t="s">
        <v>18</v>
      </c>
      <c r="B30" s="7" t="s">
        <v>68</v>
      </c>
      <c r="C30" s="11">
        <v>7419.25</v>
      </c>
      <c r="D30" s="11">
        <v>5858.03</v>
      </c>
      <c r="E30" s="11">
        <v>6273.92</v>
      </c>
      <c r="F30" s="11">
        <v>5591.9</v>
      </c>
      <c r="G30" s="11">
        <v>6077.68</v>
      </c>
      <c r="H30" s="11">
        <v>5781.02</v>
      </c>
      <c r="I30" s="11">
        <v>5822.67</v>
      </c>
      <c r="J30" s="11">
        <v>5741.42</v>
      </c>
      <c r="K30" s="11">
        <v>4009.46</v>
      </c>
      <c r="L30" s="11">
        <v>7067.23</v>
      </c>
    </row>
    <row r="31" spans="1:12" x14ac:dyDescent="0.35">
      <c r="A31" s="7" t="s">
        <v>18</v>
      </c>
      <c r="B31" s="7" t="s">
        <v>69</v>
      </c>
      <c r="C31" s="11">
        <v>13800.76</v>
      </c>
      <c r="D31" s="11">
        <v>18587.439999999999</v>
      </c>
      <c r="E31" s="11">
        <v>16355.54</v>
      </c>
      <c r="F31" s="11">
        <v>14794.92</v>
      </c>
      <c r="G31" s="11">
        <v>14847.65</v>
      </c>
      <c r="H31" s="11">
        <v>15807.69</v>
      </c>
      <c r="I31" s="11">
        <v>16315.75</v>
      </c>
      <c r="J31" s="11">
        <v>19003.12</v>
      </c>
      <c r="K31" s="11">
        <v>13284.57</v>
      </c>
      <c r="L31" s="11">
        <v>23329.85</v>
      </c>
    </row>
    <row r="32" spans="1:12" x14ac:dyDescent="0.35">
      <c r="A32" s="7" t="s">
        <v>18</v>
      </c>
      <c r="B32" s="7" t="s">
        <v>22</v>
      </c>
      <c r="C32" s="11"/>
      <c r="D32" s="11">
        <v>1600</v>
      </c>
      <c r="E32" s="11">
        <v>640</v>
      </c>
      <c r="F32" s="11">
        <v>2295.88</v>
      </c>
      <c r="G32" s="11"/>
      <c r="H32" s="11"/>
      <c r="I32" s="11">
        <v>640</v>
      </c>
      <c r="J32" s="11"/>
      <c r="K32" s="11">
        <v>1920</v>
      </c>
      <c r="L32" s="11">
        <v>1019</v>
      </c>
    </row>
    <row r="33" spans="1:13" x14ac:dyDescent="0.35">
      <c r="A33" s="7" t="s">
        <v>18</v>
      </c>
      <c r="B33" s="7" t="s">
        <v>70</v>
      </c>
      <c r="C33" s="11">
        <v>1094.76</v>
      </c>
      <c r="D33" s="11">
        <v>619.67999999999995</v>
      </c>
      <c r="E33" s="11">
        <v>385.58000000000004</v>
      </c>
      <c r="F33" s="11">
        <v>407.74</v>
      </c>
      <c r="G33" s="11">
        <v>637.82000000000005</v>
      </c>
      <c r="H33" s="11">
        <v>1081.52</v>
      </c>
      <c r="I33" s="11">
        <v>802.74</v>
      </c>
      <c r="J33" s="11">
        <v>156.60999999999999</v>
      </c>
      <c r="K33" s="11">
        <v>117.61000000000001</v>
      </c>
      <c r="L33" s="11">
        <v>177.82999999999998</v>
      </c>
    </row>
    <row r="34" spans="1:13" x14ac:dyDescent="0.35">
      <c r="A34" s="7" t="s">
        <v>18</v>
      </c>
      <c r="B34" s="7" t="s">
        <v>29</v>
      </c>
      <c r="C34" s="11">
        <f>24.7</f>
        <v>24.7</v>
      </c>
      <c r="D34" s="11">
        <f>43.66</f>
        <v>43.66</v>
      </c>
      <c r="E34" s="11">
        <f>45.6</f>
        <v>45.6</v>
      </c>
      <c r="F34" s="11">
        <f>33.25</f>
        <v>33.25</v>
      </c>
      <c r="G34" s="11">
        <f>27.38</f>
        <v>27.38</v>
      </c>
      <c r="H34" s="11">
        <f>27.17</f>
        <v>27.17</v>
      </c>
      <c r="I34" s="11">
        <f>23.31</f>
        <v>23.31</v>
      </c>
      <c r="J34" s="11">
        <f>26.43</f>
        <v>26.43</v>
      </c>
      <c r="K34" s="11">
        <f>16.57</f>
        <v>16.57</v>
      </c>
      <c r="L34" s="11">
        <f>14.48</f>
        <v>14.48</v>
      </c>
      <c r="M34" s="18"/>
    </row>
    <row r="35" spans="1:13" x14ac:dyDescent="0.35">
      <c r="A35" s="7" t="s">
        <v>18</v>
      </c>
      <c r="B35" s="7" t="s">
        <v>71</v>
      </c>
      <c r="C35" s="11">
        <v>165.16</v>
      </c>
      <c r="D35" s="11">
        <v>150.34</v>
      </c>
      <c r="E35" s="11">
        <v>432.13</v>
      </c>
      <c r="F35" s="11">
        <v>135.08000000000001</v>
      </c>
      <c r="G35" s="11">
        <v>220.18</v>
      </c>
      <c r="H35" s="11">
        <v>142</v>
      </c>
      <c r="I35" s="11">
        <v>142</v>
      </c>
      <c r="J35" s="11">
        <v>142</v>
      </c>
      <c r="K35" s="11">
        <v>49</v>
      </c>
      <c r="L35" s="11">
        <v>362.58</v>
      </c>
    </row>
    <row r="36" spans="1:13" x14ac:dyDescent="0.35">
      <c r="A36" s="10" t="s">
        <v>75</v>
      </c>
      <c r="B36" s="7" t="s">
        <v>74</v>
      </c>
      <c r="C36" s="11">
        <v>946.13</v>
      </c>
      <c r="D36" s="11">
        <v>946.13</v>
      </c>
      <c r="E36" s="11">
        <v>946.13</v>
      </c>
      <c r="F36" s="11">
        <v>946.13</v>
      </c>
      <c r="G36" s="11">
        <v>946.13</v>
      </c>
      <c r="H36" s="11">
        <v>946.13</v>
      </c>
      <c r="I36" s="11">
        <v>946.13</v>
      </c>
      <c r="J36" s="11">
        <v>946.13</v>
      </c>
      <c r="K36" s="11">
        <v>801.63</v>
      </c>
      <c r="L36" s="11">
        <v>801.63</v>
      </c>
    </row>
    <row r="37" spans="1:13" x14ac:dyDescent="0.35">
      <c r="A37" s="5"/>
      <c r="B37" s="5" t="s">
        <v>24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3" x14ac:dyDescent="0.35">
      <c r="A38" s="16" t="s">
        <v>25</v>
      </c>
      <c r="B38" s="16" t="s">
        <v>72</v>
      </c>
      <c r="C38" s="17">
        <v>8.23</v>
      </c>
      <c r="D38" s="17">
        <v>5.36</v>
      </c>
      <c r="E38" s="17">
        <v>6</v>
      </c>
      <c r="F38" s="17">
        <v>4.1900000000000004</v>
      </c>
      <c r="G38" s="17">
        <v>2.92</v>
      </c>
      <c r="H38" s="17">
        <v>2.25</v>
      </c>
      <c r="I38" s="17">
        <v>1.33</v>
      </c>
      <c r="J38" s="17">
        <v>4.05</v>
      </c>
      <c r="K38" s="17">
        <v>3.64</v>
      </c>
      <c r="L38" s="17">
        <v>3.47</v>
      </c>
    </row>
    <row r="39" spans="1:13" x14ac:dyDescent="0.35">
      <c r="A39" s="10" t="s">
        <v>26</v>
      </c>
      <c r="B39" s="7" t="s">
        <v>73</v>
      </c>
      <c r="C39" s="11"/>
      <c r="D39" s="11"/>
      <c r="E39" s="11"/>
      <c r="F39" s="11">
        <v>350.31</v>
      </c>
      <c r="G39" s="11"/>
      <c r="H39" s="11"/>
      <c r="I39" s="11"/>
      <c r="J39" s="11"/>
      <c r="K39" s="11"/>
      <c r="L39" s="11"/>
    </row>
    <row r="40" spans="1:13" x14ac:dyDescent="0.35">
      <c r="A40" s="5"/>
      <c r="B40" s="5" t="s">
        <v>27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3" x14ac:dyDescent="0.35">
      <c r="A41" s="7" t="s">
        <v>28</v>
      </c>
      <c r="B41" s="7" t="s">
        <v>29</v>
      </c>
      <c r="C41" s="11">
        <v>500.22</v>
      </c>
      <c r="D41" s="11">
        <v>414.4</v>
      </c>
      <c r="E41" s="11">
        <v>398.48</v>
      </c>
      <c r="F41" s="11">
        <v>412.83</v>
      </c>
      <c r="G41" s="11">
        <v>385.59</v>
      </c>
      <c r="H41" s="11">
        <v>377.14</v>
      </c>
      <c r="I41" s="11">
        <v>557.70000000000005</v>
      </c>
      <c r="J41" s="11">
        <v>547.19000000000005</v>
      </c>
      <c r="K41" s="11">
        <v>441.22</v>
      </c>
      <c r="L41" s="11">
        <v>482.05</v>
      </c>
    </row>
    <row r="42" spans="1:13" x14ac:dyDescent="0.35">
      <c r="A42" s="7" t="s">
        <v>106</v>
      </c>
      <c r="B42" s="7" t="s">
        <v>107</v>
      </c>
      <c r="C42" s="11">
        <v>535.33000000000004</v>
      </c>
      <c r="D42" s="11">
        <v>217.22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</row>
    <row r="43" spans="1:13" x14ac:dyDescent="0.35">
      <c r="A43" s="5"/>
      <c r="B43" s="5" t="s">
        <v>30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3" x14ac:dyDescent="0.35">
      <c r="A44" s="7" t="s">
        <v>31</v>
      </c>
      <c r="B44" s="10" t="s">
        <v>76</v>
      </c>
      <c r="C44" s="14">
        <v>33707.910000000003</v>
      </c>
      <c r="D44" s="11">
        <v>30903.25</v>
      </c>
      <c r="E44" s="11">
        <v>36355.729999999996</v>
      </c>
      <c r="F44" s="11">
        <v>29676.29</v>
      </c>
      <c r="G44" s="11">
        <v>21502.260000000002</v>
      </c>
      <c r="H44" s="11">
        <v>26885.489999999998</v>
      </c>
      <c r="I44" s="11">
        <v>17147.87</v>
      </c>
      <c r="J44" s="11">
        <v>25762.13</v>
      </c>
      <c r="K44" s="11">
        <v>30757.160000000003</v>
      </c>
      <c r="L44" s="11">
        <v>21255</v>
      </c>
    </row>
    <row r="45" spans="1:13" x14ac:dyDescent="0.35">
      <c r="A45" s="7" t="s">
        <v>32</v>
      </c>
      <c r="B45" s="7" t="s">
        <v>77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</row>
    <row r="46" spans="1:13" x14ac:dyDescent="0.35">
      <c r="A46" s="7" t="s">
        <v>32</v>
      </c>
      <c r="B46" s="7" t="s">
        <v>78</v>
      </c>
      <c r="C46" s="11">
        <v>644.17999999999995</v>
      </c>
      <c r="D46" s="11">
        <v>644.17999999999995</v>
      </c>
      <c r="E46" s="11">
        <v>644.17999999999995</v>
      </c>
      <c r="F46" s="11">
        <v>644.17999999999995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 spans="1:13" x14ac:dyDescent="0.35">
      <c r="A47" s="7" t="s">
        <v>32</v>
      </c>
      <c r="B47" s="7" t="s">
        <v>79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</row>
    <row r="48" spans="1:13" x14ac:dyDescent="0.35">
      <c r="A48" s="7" t="s">
        <v>32</v>
      </c>
      <c r="B48" s="7" t="s">
        <v>80</v>
      </c>
      <c r="C48" s="11">
        <v>19479</v>
      </c>
      <c r="D48" s="11">
        <v>19479</v>
      </c>
      <c r="E48" s="11">
        <v>19479</v>
      </c>
      <c r="F48" s="11">
        <v>19479</v>
      </c>
      <c r="G48" s="11">
        <v>19479</v>
      </c>
      <c r="H48" s="11">
        <v>19479</v>
      </c>
      <c r="I48" s="11">
        <v>19479</v>
      </c>
      <c r="J48" s="11">
        <v>19479</v>
      </c>
      <c r="K48" s="11">
        <v>19479</v>
      </c>
      <c r="L48" s="11">
        <v>19479</v>
      </c>
    </row>
    <row r="49" spans="1:12" x14ac:dyDescent="0.35">
      <c r="A49" s="7" t="s">
        <v>32</v>
      </c>
      <c r="B49" s="7" t="s">
        <v>81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</row>
    <row r="50" spans="1:12" x14ac:dyDescent="0.35">
      <c r="A50" s="7" t="s">
        <v>32</v>
      </c>
      <c r="B50" s="7" t="s">
        <v>82</v>
      </c>
      <c r="C50" s="11">
        <v>30297.4</v>
      </c>
      <c r="D50" s="11">
        <v>30297.4</v>
      </c>
      <c r="E50" s="11">
        <v>30297.4</v>
      </c>
      <c r="F50" s="11">
        <v>30297.4</v>
      </c>
      <c r="G50" s="11">
        <v>30297.4</v>
      </c>
      <c r="H50" s="11">
        <v>30297.4</v>
      </c>
      <c r="I50" s="11">
        <v>30297.4</v>
      </c>
      <c r="J50" s="11">
        <v>30297.4</v>
      </c>
      <c r="K50" s="11">
        <v>30297.4</v>
      </c>
      <c r="L50" s="11">
        <v>30297.4</v>
      </c>
    </row>
    <row r="51" spans="1:12" x14ac:dyDescent="0.35">
      <c r="A51" s="7" t="s">
        <v>32</v>
      </c>
      <c r="B51" s="7" t="s">
        <v>33</v>
      </c>
      <c r="C51" s="11">
        <v>1883.05</v>
      </c>
      <c r="D51" s="11">
        <v>11934.03</v>
      </c>
      <c r="E51" s="11">
        <v>5701.14</v>
      </c>
      <c r="F51" s="11">
        <v>10436.23</v>
      </c>
      <c r="G51" s="11">
        <v>26820.080000000002</v>
      </c>
      <c r="H51" s="11">
        <v>15426.57</v>
      </c>
      <c r="I51" s="11">
        <v>20990.31</v>
      </c>
      <c r="J51" s="11">
        <v>27891.63</v>
      </c>
      <c r="K51" s="11">
        <v>25604.67</v>
      </c>
      <c r="L51" s="11">
        <v>29535</v>
      </c>
    </row>
    <row r="52" spans="1:12" x14ac:dyDescent="0.35">
      <c r="A52" s="7" t="s">
        <v>32</v>
      </c>
      <c r="B52" s="7" t="s">
        <v>83</v>
      </c>
      <c r="C52" s="11">
        <v>3241.77</v>
      </c>
      <c r="D52" s="11">
        <v>3241.77</v>
      </c>
      <c r="E52" s="11">
        <v>3241.77</v>
      </c>
      <c r="F52" s="11">
        <v>3241.77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</row>
    <row r="53" spans="1:12" x14ac:dyDescent="0.35">
      <c r="A53" s="7" t="s">
        <v>32</v>
      </c>
      <c r="B53" s="7" t="s">
        <v>84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</row>
    <row r="54" spans="1:12" x14ac:dyDescent="0.35">
      <c r="A54" s="7" t="s">
        <v>32</v>
      </c>
      <c r="B54" s="7" t="s">
        <v>85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</row>
    <row r="55" spans="1:12" x14ac:dyDescent="0.35">
      <c r="A55" s="7" t="s">
        <v>32</v>
      </c>
      <c r="B55" s="7" t="s">
        <v>86</v>
      </c>
      <c r="C55" s="11">
        <v>7144.14</v>
      </c>
      <c r="D55" s="11">
        <v>0</v>
      </c>
      <c r="E55" s="11">
        <v>3264.34</v>
      </c>
      <c r="F55" s="11">
        <v>5010.47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</row>
    <row r="56" spans="1:12" x14ac:dyDescent="0.35">
      <c r="A56" s="5"/>
      <c r="B56" s="5" t="s">
        <v>34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x14ac:dyDescent="0.35">
      <c r="A57" s="7" t="s">
        <v>35</v>
      </c>
      <c r="B57" s="7" t="s">
        <v>36</v>
      </c>
      <c r="C57" s="11">
        <v>-45899.06</v>
      </c>
      <c r="D57" s="11">
        <v>-46845.19</v>
      </c>
      <c r="E57" s="11">
        <v>-47791.32</v>
      </c>
      <c r="F57" s="11">
        <v>-48737.45</v>
      </c>
      <c r="G57" s="11">
        <v>-49683.58</v>
      </c>
      <c r="H57" s="11">
        <v>-50629.71</v>
      </c>
      <c r="I57" s="11">
        <v>-51575.839999999997</v>
      </c>
      <c r="J57" s="11">
        <v>-52521.97</v>
      </c>
      <c r="K57" s="11">
        <v>-53323.6</v>
      </c>
      <c r="L57" s="11">
        <v>-54125.23</v>
      </c>
    </row>
    <row r="58" spans="1:12" x14ac:dyDescent="0.35">
      <c r="A58" s="7" t="s">
        <v>35</v>
      </c>
      <c r="B58" s="7" t="s">
        <v>87</v>
      </c>
      <c r="C58" s="11">
        <v>20886.64</v>
      </c>
      <c r="D58" s="11">
        <v>20886.64</v>
      </c>
      <c r="E58" s="11">
        <v>20886.64</v>
      </c>
      <c r="F58" s="11">
        <v>20886.64</v>
      </c>
      <c r="G58" s="11">
        <v>20886.64</v>
      </c>
      <c r="H58" s="11">
        <v>20886.64</v>
      </c>
      <c r="I58" s="11">
        <v>20886.64</v>
      </c>
      <c r="J58" s="11">
        <v>20886.64</v>
      </c>
      <c r="K58" s="11">
        <v>20886.64</v>
      </c>
      <c r="L58" s="11">
        <v>20886.64</v>
      </c>
    </row>
    <row r="59" spans="1:12" x14ac:dyDescent="0.35">
      <c r="A59" s="7" t="s">
        <v>35</v>
      </c>
      <c r="B59" s="7" t="s">
        <v>37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</row>
    <row r="60" spans="1:12" x14ac:dyDescent="0.35">
      <c r="A60" s="7" t="s">
        <v>35</v>
      </c>
      <c r="B60" s="7" t="s">
        <v>88</v>
      </c>
      <c r="C60" s="11">
        <v>5950</v>
      </c>
      <c r="D60" s="11">
        <v>5950</v>
      </c>
      <c r="E60" s="11">
        <v>5950</v>
      </c>
      <c r="F60" s="11">
        <v>5950</v>
      </c>
      <c r="G60" s="11">
        <v>5950</v>
      </c>
      <c r="H60" s="11">
        <v>5950</v>
      </c>
      <c r="I60" s="11">
        <v>5950</v>
      </c>
      <c r="J60" s="11">
        <v>5950</v>
      </c>
      <c r="K60" s="11">
        <v>5950</v>
      </c>
      <c r="L60" s="11">
        <v>5950</v>
      </c>
    </row>
    <row r="61" spans="1:12" x14ac:dyDescent="0.35">
      <c r="A61" s="7" t="s">
        <v>35</v>
      </c>
      <c r="B61" s="7" t="s">
        <v>89</v>
      </c>
      <c r="C61" s="11">
        <v>2184.7800000000002</v>
      </c>
      <c r="D61" s="11">
        <v>2184.7800000000002</v>
      </c>
      <c r="E61" s="11">
        <v>2184.7800000000002</v>
      </c>
      <c r="F61" s="11">
        <v>2184.7800000000002</v>
      </c>
      <c r="G61" s="11">
        <v>2184.7800000000002</v>
      </c>
      <c r="H61" s="11">
        <v>2184.7800000000002</v>
      </c>
      <c r="I61" s="11">
        <v>2184.7800000000002</v>
      </c>
      <c r="J61" s="11">
        <v>2184.7800000000002</v>
      </c>
      <c r="K61" s="11">
        <v>2184.7800000000002</v>
      </c>
      <c r="L61" s="11">
        <v>2184.7800000000002</v>
      </c>
    </row>
    <row r="62" spans="1:12" x14ac:dyDescent="0.35">
      <c r="A62" s="7" t="s">
        <v>35</v>
      </c>
      <c r="B62" s="7" t="s">
        <v>90</v>
      </c>
      <c r="C62" s="11">
        <v>39962.910000000003</v>
      </c>
      <c r="D62" s="11">
        <v>39962.910000000003</v>
      </c>
      <c r="E62" s="11">
        <v>39962.910000000003</v>
      </c>
      <c r="F62" s="11">
        <v>39962.910000000003</v>
      </c>
      <c r="G62" s="11">
        <v>39962.910000000003</v>
      </c>
      <c r="H62" s="11">
        <v>39962.910000000003</v>
      </c>
      <c r="I62" s="11">
        <v>39962.910000000003</v>
      </c>
      <c r="J62" s="11">
        <v>39962.910000000003</v>
      </c>
      <c r="K62" s="11">
        <v>39962.910000000003</v>
      </c>
      <c r="L62" s="11">
        <v>39962.910000000003</v>
      </c>
    </row>
    <row r="63" spans="1:12" x14ac:dyDescent="0.35">
      <c r="A63" s="10" t="s">
        <v>92</v>
      </c>
      <c r="B63" s="7" t="s">
        <v>91</v>
      </c>
      <c r="C63" s="11">
        <v>2193</v>
      </c>
      <c r="D63" s="11">
        <v>2193</v>
      </c>
      <c r="E63" s="11">
        <v>2193</v>
      </c>
      <c r="F63" s="11">
        <v>2193</v>
      </c>
      <c r="G63" s="11">
        <v>2193</v>
      </c>
      <c r="H63" s="11">
        <v>2193</v>
      </c>
      <c r="I63" s="11">
        <v>2193</v>
      </c>
      <c r="J63" s="11">
        <v>2193</v>
      </c>
      <c r="K63" s="11">
        <v>2193</v>
      </c>
      <c r="L63" s="11">
        <v>2193</v>
      </c>
    </row>
    <row r="64" spans="1:12" x14ac:dyDescent="0.35">
      <c r="A64" s="5"/>
      <c r="B64" s="5" t="s">
        <v>38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35">
      <c r="A65" s="7" t="s">
        <v>39</v>
      </c>
      <c r="B65" s="10" t="s">
        <v>104</v>
      </c>
      <c r="C65" s="11">
        <v>2449.36</v>
      </c>
      <c r="D65" s="11">
        <v>3206.68</v>
      </c>
      <c r="E65" s="11">
        <v>2028.21</v>
      </c>
      <c r="F65" s="11">
        <v>1534.15</v>
      </c>
      <c r="G65" s="11">
        <v>1411.53</v>
      </c>
      <c r="H65" s="11">
        <v>1338.7</v>
      </c>
      <c r="I65" s="11">
        <v>1266.98</v>
      </c>
      <c r="J65" s="11">
        <v>893.41</v>
      </c>
      <c r="K65" s="11">
        <v>816.57</v>
      </c>
      <c r="L65" s="11">
        <v>756.05</v>
      </c>
    </row>
    <row r="66" spans="1:12" x14ac:dyDescent="0.35">
      <c r="A66" s="7" t="s">
        <v>39</v>
      </c>
      <c r="B66" s="7" t="s">
        <v>93</v>
      </c>
      <c r="C66" s="11">
        <v>7305.54</v>
      </c>
      <c r="D66" s="11">
        <v>7305.54</v>
      </c>
      <c r="E66" s="11">
        <v>7305.54</v>
      </c>
      <c r="F66" s="11">
        <v>7305.54</v>
      </c>
      <c r="G66" s="11">
        <v>7305.54</v>
      </c>
      <c r="H66" s="11">
        <v>7305.54</v>
      </c>
      <c r="I66" s="11">
        <v>7405.54</v>
      </c>
      <c r="J66" s="11">
        <v>7405.54</v>
      </c>
      <c r="K66" s="11">
        <v>7405.54</v>
      </c>
      <c r="L66" s="11">
        <v>7405.54</v>
      </c>
    </row>
    <row r="67" spans="1:12" x14ac:dyDescent="0.35">
      <c r="A67" s="7" t="s">
        <v>39</v>
      </c>
      <c r="B67" s="7" t="s">
        <v>94</v>
      </c>
      <c r="C67" s="11">
        <v>24997.24</v>
      </c>
      <c r="D67" s="11">
        <v>23739.360000000001</v>
      </c>
      <c r="E67" s="11">
        <v>22465.56</v>
      </c>
      <c r="F67" s="11">
        <v>21206.11</v>
      </c>
      <c r="G67" s="11">
        <v>19919.419999999998</v>
      </c>
      <c r="H67" s="11">
        <v>18624.28</v>
      </c>
      <c r="I67" s="11">
        <v>16892.960000000003</v>
      </c>
      <c r="J67" s="11">
        <v>31783.13</v>
      </c>
      <c r="K67" s="11">
        <v>29935.33</v>
      </c>
      <c r="L67" s="11">
        <v>28128.36</v>
      </c>
    </row>
    <row r="68" spans="1:12" x14ac:dyDescent="0.35">
      <c r="A68" s="7" t="s">
        <v>39</v>
      </c>
      <c r="B68" s="7" t="s">
        <v>95</v>
      </c>
      <c r="C68" s="11">
        <v>12995.66</v>
      </c>
      <c r="D68" s="11">
        <v>12995.66</v>
      </c>
      <c r="E68" s="11">
        <v>12995.66</v>
      </c>
      <c r="F68" s="11">
        <v>12995.66</v>
      </c>
      <c r="G68" s="11">
        <v>12995.66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</row>
    <row r="69" spans="1:12" x14ac:dyDescent="0.35">
      <c r="A69" s="7" t="s">
        <v>39</v>
      </c>
      <c r="B69" s="7" t="s">
        <v>96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</row>
    <row r="70" spans="1:12" x14ac:dyDescent="0.35">
      <c r="A70" s="7" t="s">
        <v>39</v>
      </c>
      <c r="B70" s="7" t="s">
        <v>40</v>
      </c>
      <c r="C70" s="11">
        <v>4436.59</v>
      </c>
      <c r="D70" s="11">
        <v>4535.42</v>
      </c>
      <c r="E70" s="11">
        <v>7078.23</v>
      </c>
      <c r="F70" s="11">
        <v>7407.48</v>
      </c>
      <c r="G70" s="11">
        <v>4941.08</v>
      </c>
      <c r="H70" s="11">
        <v>6684.11</v>
      </c>
      <c r="I70" s="11">
        <v>3316.29</v>
      </c>
      <c r="J70" s="11">
        <v>9099.2900000000009</v>
      </c>
      <c r="K70" s="11">
        <v>8129.93</v>
      </c>
      <c r="L70" s="11">
        <v>14344.119999999999</v>
      </c>
    </row>
    <row r="71" spans="1:12" x14ac:dyDescent="0.35">
      <c r="A71" s="7" t="s">
        <v>39</v>
      </c>
      <c r="B71" s="7" t="s">
        <v>44</v>
      </c>
      <c r="C71" s="11">
        <v>20000</v>
      </c>
      <c r="D71" s="11">
        <v>20000</v>
      </c>
      <c r="E71" s="11">
        <v>20000</v>
      </c>
      <c r="F71" s="11">
        <v>20000</v>
      </c>
      <c r="G71" s="11">
        <v>20000</v>
      </c>
      <c r="H71" s="11">
        <v>20000</v>
      </c>
      <c r="I71" s="11">
        <v>20000</v>
      </c>
      <c r="J71" s="11">
        <v>20000</v>
      </c>
      <c r="K71" s="11">
        <v>20000</v>
      </c>
      <c r="L71" s="11">
        <v>20000</v>
      </c>
    </row>
    <row r="72" spans="1:12" x14ac:dyDescent="0.35">
      <c r="A72" s="7" t="s">
        <v>39</v>
      </c>
      <c r="B72" s="7" t="s">
        <v>97</v>
      </c>
      <c r="C72" s="11">
        <v>658.29</v>
      </c>
      <c r="D72" s="11">
        <v>658.29</v>
      </c>
      <c r="E72" s="11">
        <v>658.29</v>
      </c>
      <c r="F72" s="11">
        <v>658.29</v>
      </c>
      <c r="G72" s="11">
        <v>658.29</v>
      </c>
      <c r="H72" s="11">
        <v>658.29</v>
      </c>
      <c r="I72" s="11">
        <v>658.29</v>
      </c>
      <c r="J72" s="11">
        <v>658.29</v>
      </c>
      <c r="K72" s="11">
        <v>658.29</v>
      </c>
      <c r="L72" s="11">
        <v>658.29</v>
      </c>
    </row>
    <row r="73" spans="1:12" x14ac:dyDescent="0.35">
      <c r="A73" s="7" t="s">
        <v>39</v>
      </c>
      <c r="B73" s="10" t="s">
        <v>98</v>
      </c>
      <c r="C73" s="11">
        <v>24071.68</v>
      </c>
      <c r="D73" s="11">
        <v>24071.68</v>
      </c>
      <c r="E73" s="11">
        <v>24071.68</v>
      </c>
      <c r="F73" s="11">
        <v>24071.68</v>
      </c>
      <c r="G73" s="11">
        <v>24071.68</v>
      </c>
      <c r="H73" s="11">
        <v>24071.68</v>
      </c>
      <c r="I73" s="11">
        <v>24071.68</v>
      </c>
      <c r="J73" s="11">
        <v>24071.68</v>
      </c>
      <c r="K73" s="11">
        <v>24071.68</v>
      </c>
      <c r="L73" s="11">
        <v>24071.68</v>
      </c>
    </row>
    <row r="74" spans="1:12" x14ac:dyDescent="0.35">
      <c r="A74" s="7" t="s">
        <v>39</v>
      </c>
      <c r="B74" s="10" t="s">
        <v>99</v>
      </c>
      <c r="C74" s="11">
        <v>14482.91</v>
      </c>
      <c r="D74" s="11">
        <v>14482.91</v>
      </c>
      <c r="E74" s="11">
        <v>14482.91</v>
      </c>
      <c r="F74" s="11">
        <v>14482.91</v>
      </c>
      <c r="G74" s="11">
        <v>14482.91</v>
      </c>
      <c r="H74" s="11">
        <v>14482.91</v>
      </c>
      <c r="I74" s="11">
        <v>14482.91</v>
      </c>
      <c r="J74" s="11">
        <v>14482.91</v>
      </c>
      <c r="K74" s="11">
        <v>14482.91</v>
      </c>
      <c r="L74" s="11">
        <v>14482.91</v>
      </c>
    </row>
    <row r="75" spans="1:12" x14ac:dyDescent="0.35">
      <c r="A75" s="7" t="s">
        <v>39</v>
      </c>
      <c r="B75" s="7" t="s">
        <v>41</v>
      </c>
      <c r="C75" s="11">
        <v>27397.040000000001</v>
      </c>
      <c r="D75" s="11">
        <v>26554.84</v>
      </c>
      <c r="E75" s="11">
        <v>27836.84</v>
      </c>
      <c r="F75" s="11">
        <v>28066.68</v>
      </c>
      <c r="G75" s="11">
        <v>26679.74</v>
      </c>
      <c r="H75" s="11">
        <v>26556.95</v>
      </c>
      <c r="I75" s="11">
        <v>26268.7</v>
      </c>
      <c r="J75" s="11">
        <v>26698.77</v>
      </c>
      <c r="K75" s="11">
        <v>24801.06</v>
      </c>
      <c r="L75" s="11">
        <v>24968.959999999999</v>
      </c>
    </row>
    <row r="76" spans="1:12" x14ac:dyDescent="0.35">
      <c r="A76" s="7" t="s">
        <v>39</v>
      </c>
      <c r="B76" s="7" t="s">
        <v>108</v>
      </c>
      <c r="C76" s="11"/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2886</v>
      </c>
      <c r="L76" s="11">
        <v>2886</v>
      </c>
    </row>
    <row r="77" spans="1:12" x14ac:dyDescent="0.35">
      <c r="A77" s="5"/>
      <c r="B77" s="5" t="s">
        <v>42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35">
      <c r="A78" s="7" t="s">
        <v>43</v>
      </c>
      <c r="B78" s="7" t="s">
        <v>100</v>
      </c>
      <c r="C78" s="11">
        <v>17751.72</v>
      </c>
      <c r="D78" s="11">
        <v>17751.72</v>
      </c>
      <c r="E78" s="11">
        <v>17751.72</v>
      </c>
      <c r="F78" s="11">
        <v>17751.72</v>
      </c>
      <c r="G78" s="11">
        <v>17751.72</v>
      </c>
      <c r="H78" s="11">
        <v>17751.72</v>
      </c>
      <c r="I78" s="11">
        <v>17751.72</v>
      </c>
      <c r="J78" s="11">
        <v>17751.72</v>
      </c>
      <c r="K78" s="11">
        <v>17751.72</v>
      </c>
      <c r="L78" s="11">
        <v>17751.72</v>
      </c>
    </row>
    <row r="79" spans="1:12" x14ac:dyDescent="0.35">
      <c r="A79" s="5"/>
      <c r="B79" s="5" t="s">
        <v>45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1:12" x14ac:dyDescent="0.35">
      <c r="A80" s="7" t="s">
        <v>46</v>
      </c>
      <c r="B80" s="7" t="s">
        <v>47</v>
      </c>
      <c r="C80" s="11">
        <v>135909.44</v>
      </c>
      <c r="D80" s="11">
        <v>135909.44</v>
      </c>
      <c r="E80" s="11">
        <v>135909.44</v>
      </c>
      <c r="F80" s="11">
        <v>135909.44</v>
      </c>
      <c r="G80" s="11">
        <v>135909.44</v>
      </c>
      <c r="H80" s="11">
        <v>135909.44</v>
      </c>
      <c r="I80" s="11">
        <v>135909.44</v>
      </c>
      <c r="J80" s="11">
        <v>135909.44</v>
      </c>
      <c r="K80" s="11">
        <v>135909.44</v>
      </c>
      <c r="L80" s="11">
        <v>135909.44</v>
      </c>
    </row>
    <row r="81" spans="1:12" x14ac:dyDescent="0.35">
      <c r="A81" s="7" t="s">
        <v>48</v>
      </c>
      <c r="B81" s="7" t="s">
        <v>49</v>
      </c>
      <c r="C81" s="11">
        <v>-14489.91</v>
      </c>
      <c r="D81" s="11">
        <v>-13891.25</v>
      </c>
      <c r="E81" s="11">
        <v>-10815.85</v>
      </c>
      <c r="F81" s="11">
        <v>-10578.14</v>
      </c>
      <c r="G81" s="11">
        <v>-6760.58</v>
      </c>
      <c r="H81" s="11">
        <v>-13751.02</v>
      </c>
      <c r="I81" s="11">
        <v>-13324.28</v>
      </c>
      <c r="J81" s="11">
        <v>-19221.86</v>
      </c>
      <c r="K81" s="11">
        <v>-15222.07</v>
      </c>
      <c r="L81" s="11">
        <v>-25922.49</v>
      </c>
    </row>
    <row r="82" spans="1:12" x14ac:dyDescent="0.35">
      <c r="A82" s="7" t="s">
        <v>50</v>
      </c>
      <c r="B82" s="7" t="s">
        <v>101</v>
      </c>
      <c r="C82" s="11">
        <v>-226280.82</v>
      </c>
      <c r="D82" s="11">
        <v>-226280.82</v>
      </c>
      <c r="E82" s="11">
        <v>-226503.32</v>
      </c>
      <c r="F82" s="11">
        <v>-226503.32</v>
      </c>
      <c r="G82" s="11">
        <v>-226503.32</v>
      </c>
      <c r="H82" s="11">
        <v>-226503.32</v>
      </c>
      <c r="I82" s="11">
        <v>-226503.32</v>
      </c>
      <c r="J82" s="11">
        <v>-226578.32</v>
      </c>
      <c r="K82" s="11">
        <v>-226578.32</v>
      </c>
      <c r="L82" s="11">
        <v>-226578.32</v>
      </c>
    </row>
    <row r="83" spans="1:12" x14ac:dyDescent="0.35">
      <c r="A83" s="7" t="s">
        <v>50</v>
      </c>
      <c r="B83" s="7" t="s">
        <v>102</v>
      </c>
      <c r="C83" s="11">
        <v>34894.11</v>
      </c>
      <c r="D83" s="11">
        <v>34894.11</v>
      </c>
      <c r="E83" s="11">
        <v>34894.11</v>
      </c>
      <c r="F83" s="11">
        <v>34894.11</v>
      </c>
      <c r="G83" s="11">
        <v>34894.11</v>
      </c>
      <c r="H83" s="11">
        <v>34894.11</v>
      </c>
      <c r="I83" s="11">
        <v>34894.11</v>
      </c>
      <c r="J83" s="11">
        <v>34894.11</v>
      </c>
      <c r="K83" s="11">
        <v>34894.11</v>
      </c>
      <c r="L83" s="11">
        <v>34894.11</v>
      </c>
    </row>
    <row r="84" spans="1:12" x14ac:dyDescent="0.35">
      <c r="A84" s="7" t="s">
        <v>50</v>
      </c>
      <c r="B84" s="7" t="s">
        <v>103</v>
      </c>
      <c r="C84" s="11">
        <v>35096.870000000003</v>
      </c>
      <c r="D84" s="11">
        <v>34898.19</v>
      </c>
      <c r="E84" s="11">
        <v>32210.55</v>
      </c>
      <c r="F84" s="11">
        <v>32022.91</v>
      </c>
      <c r="G84" s="11">
        <v>31835.27</v>
      </c>
      <c r="H84" s="11">
        <v>44612.69</v>
      </c>
      <c r="I84" s="11">
        <v>44425.05</v>
      </c>
      <c r="J84" s="11">
        <v>44237.41</v>
      </c>
      <c r="K84" s="11">
        <v>44049.77</v>
      </c>
      <c r="L84" s="11">
        <v>43862.13</v>
      </c>
    </row>
    <row r="85" spans="1:12" x14ac:dyDescent="0.35"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 spans="1:12" x14ac:dyDescent="0.35">
      <c r="C86" s="13"/>
      <c r="D86" s="13"/>
      <c r="E86" s="13"/>
      <c r="F86" s="13"/>
      <c r="G86" s="13"/>
      <c r="H86" s="13"/>
      <c r="I86" s="13"/>
      <c r="J86" s="13"/>
      <c r="K86" s="13"/>
      <c r="L86" s="13"/>
    </row>
    <row r="87" spans="1:12" x14ac:dyDescent="0.35">
      <c r="C87" s="13"/>
      <c r="D87" s="13"/>
      <c r="E87" s="13"/>
      <c r="F87" s="13"/>
      <c r="G87" s="13"/>
      <c r="H87" s="13"/>
      <c r="I87" s="13"/>
      <c r="J87" s="13"/>
      <c r="K87" s="13"/>
      <c r="L8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2025-11-17T13:54:35Z</dcterms:modified>
</cp:coreProperties>
</file>