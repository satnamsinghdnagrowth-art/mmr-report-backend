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9B8CE53-D981-438D-8BD7-B117EE11BB1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Profit and Loss" sheetId="1" r:id="rId1"/>
  </sheets>
  <calcPr calcId="181029"/>
</workbook>
</file>

<file path=xl/calcChain.xml><?xml version="1.0" encoding="utf-8"?>
<calcChain xmlns="http://schemas.openxmlformats.org/spreadsheetml/2006/main">
  <c r="Q79" i="1" l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Q9" i="1"/>
  <c r="Q38" i="1" s="1"/>
  <c r="Q81" i="1" s="1"/>
  <c r="P9" i="1"/>
  <c r="P38" i="1" s="1"/>
  <c r="P81" i="1" s="1"/>
  <c r="O9" i="1"/>
  <c r="O38" i="1" s="1"/>
  <c r="O81" i="1" s="1"/>
  <c r="N9" i="1"/>
  <c r="N38" i="1" s="1"/>
  <c r="N81" i="1" s="1"/>
  <c r="M9" i="1"/>
  <c r="M38" i="1" s="1"/>
  <c r="M81" i="1" s="1"/>
  <c r="L9" i="1"/>
  <c r="L38" i="1" s="1"/>
  <c r="L81" i="1" s="1"/>
  <c r="K9" i="1"/>
  <c r="K38" i="1" s="1"/>
  <c r="K81" i="1" s="1"/>
  <c r="J9" i="1"/>
  <c r="J38" i="1" s="1"/>
  <c r="J81" i="1" s="1"/>
  <c r="I9" i="1"/>
  <c r="I38" i="1" s="1"/>
  <c r="I81" i="1" s="1"/>
  <c r="H9" i="1"/>
  <c r="H38" i="1" s="1"/>
  <c r="H81" i="1" s="1"/>
  <c r="G9" i="1"/>
  <c r="G38" i="1" s="1"/>
  <c r="G81" i="1" s="1"/>
  <c r="F9" i="1"/>
  <c r="F38" i="1" s="1"/>
  <c r="F81" i="1" s="1"/>
  <c r="E9" i="1"/>
  <c r="E38" i="1" s="1"/>
  <c r="E81" i="1" s="1"/>
  <c r="D9" i="1"/>
  <c r="D38" i="1" s="1"/>
  <c r="D81" i="1" s="1"/>
  <c r="C9" i="1"/>
  <c r="C38" i="1" s="1"/>
  <c r="C81" i="1" s="1"/>
  <c r="B9" i="1"/>
  <c r="B38" i="1" s="1"/>
  <c r="B81" i="1" s="1"/>
</calcChain>
</file>

<file path=xl/sharedStrings.xml><?xml version="1.0" encoding="utf-8"?>
<sst xmlns="http://schemas.openxmlformats.org/spreadsheetml/2006/main" count="90" uniqueCount="90">
  <si>
    <t>Profit and Loss</t>
  </si>
  <si>
    <t>Live Productions Australia Pty Ltd</t>
  </si>
  <si>
    <t>For the month ended 30 November 2024</t>
  </si>
  <si>
    <t>Account</t>
  </si>
  <si>
    <t>Nov 2024</t>
  </si>
  <si>
    <t>Oct 2024</t>
  </si>
  <si>
    <t>Sept 2024</t>
  </si>
  <si>
    <t>Aug 2024</t>
  </si>
  <si>
    <t>Jul 2024</t>
  </si>
  <si>
    <t>Jun 2024</t>
  </si>
  <si>
    <t>May 2024</t>
  </si>
  <si>
    <t>Apr 2024</t>
  </si>
  <si>
    <t>Mar 2024</t>
  </si>
  <si>
    <t>Feb 2024</t>
  </si>
  <si>
    <t>Jan 2024</t>
  </si>
  <si>
    <t>Dec 2023</t>
  </si>
  <si>
    <t>Nov 2023</t>
  </si>
  <si>
    <t>Oct 2023</t>
  </si>
  <si>
    <t>Sept 2023</t>
  </si>
  <si>
    <t>Aug 2023</t>
  </si>
  <si>
    <t>Trading Income</t>
  </si>
  <si>
    <t>Technical Management Income</t>
  </si>
  <si>
    <t>Total Trading Income</t>
  </si>
  <si>
    <t>Cost of Sales</t>
  </si>
  <si>
    <t>Electronic Sales</t>
  </si>
  <si>
    <t>Event Accommodation, Food and Travel</t>
  </si>
  <si>
    <t>Event Accomodation - OS</t>
  </si>
  <si>
    <t>Event Commissions and Rebates</t>
  </si>
  <si>
    <t>Event Consumables</t>
  </si>
  <si>
    <t>Event Equipment Hire</t>
  </si>
  <si>
    <t>Event Equipment Hire - OS</t>
  </si>
  <si>
    <t>Event Expenses</t>
  </si>
  <si>
    <t>Event Freelancers and Labour</t>
  </si>
  <si>
    <t>Event Freight</t>
  </si>
  <si>
    <t>Event Media</t>
  </si>
  <si>
    <t>Event Office Expenses</t>
  </si>
  <si>
    <t>Event Parking &amp; Tolls</t>
  </si>
  <si>
    <t>Event Printing</t>
  </si>
  <si>
    <t>Event Set Building Costs</t>
  </si>
  <si>
    <t>Event Subcontractors - overseas</t>
  </si>
  <si>
    <t>Event Subcontractors GNR - GST not Registered</t>
  </si>
  <si>
    <t>Event Sustenance</t>
  </si>
  <si>
    <t>Event Sustenance - OS</t>
  </si>
  <si>
    <t>Event Theming</t>
  </si>
  <si>
    <t>Event Transport - OS</t>
  </si>
  <si>
    <t>Event Transport - taxi, flights</t>
  </si>
  <si>
    <t>Event Vehicle Hire</t>
  </si>
  <si>
    <t>Hire Equipment R&amp;M</t>
  </si>
  <si>
    <t>Total Cost of Sales</t>
  </si>
  <si>
    <t>Gross Profit</t>
  </si>
  <si>
    <t>Other Income</t>
  </si>
  <si>
    <t>Equipment Sales</t>
  </si>
  <si>
    <t>Interest Income</t>
  </si>
  <si>
    <t>Total Other Income</t>
  </si>
  <si>
    <t>Operating Expenses</t>
  </si>
  <si>
    <t>Accommodation, Food and Travel</t>
  </si>
  <si>
    <t>Accountancy</t>
  </si>
  <si>
    <t>Advertising</t>
  </si>
  <si>
    <t>Bank Charges</t>
  </si>
  <si>
    <t>Computer &amp; IT Expenses</t>
  </si>
  <si>
    <t>Computer &amp; IT Expenses [6-1800]</t>
  </si>
  <si>
    <t>Depreciation</t>
  </si>
  <si>
    <t>Dividends Paid</t>
  </si>
  <si>
    <t>Electricity</t>
  </si>
  <si>
    <t>Filing Fees</t>
  </si>
  <si>
    <t>Fines &amp; Penalties</t>
  </si>
  <si>
    <t>Gifts - Clients</t>
  </si>
  <si>
    <t>Income Tax Expense</t>
  </si>
  <si>
    <t>Insurance</t>
  </si>
  <si>
    <t>Insurance - Workers Compensation</t>
  </si>
  <si>
    <t>Legal Expenses</t>
  </si>
  <si>
    <t>M/V Insurance</t>
  </si>
  <si>
    <t>M/V R&amp;M</t>
  </si>
  <si>
    <t>Motor Vehicle Expenses</t>
  </si>
  <si>
    <t>Office Expenses</t>
  </si>
  <si>
    <t>Office Rent</t>
  </si>
  <si>
    <t>Printing, Postage &amp; Stationery</t>
  </si>
  <si>
    <t>Professional Fees</t>
  </si>
  <si>
    <t>Repairs &amp; Maintenance</t>
  </si>
  <si>
    <t>Small Equipment &lt; $1000</t>
  </si>
  <si>
    <t>Staff and Client Amenities</t>
  </si>
  <si>
    <t>Staff Training</t>
  </si>
  <si>
    <t>Staff Uniforms</t>
  </si>
  <si>
    <t>Subscriptions</t>
  </si>
  <si>
    <t>Superannuation</t>
  </si>
  <si>
    <t>Telephone</t>
  </si>
  <si>
    <t>Telephone &amp; Internet</t>
  </si>
  <si>
    <t>Wages</t>
  </si>
  <si>
    <t>Total Operating Expenses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</si>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</sst>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7" x14ac:knownFonts="1"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showGridLines="0" tabSelected="1" zoomScaleNormal="100" workbookViewId="0"/>
  </sheetViews>
  <sheetFormatPr defaultRowHeight="12" x14ac:dyDescent="0.2"/>
  <cols>
    <col min="1" max="1" width="44.7109375" customWidth="1"/>
    <col min="2" max="3" width="11.140625" customWidth="1"/>
    <col min="4" max="4" width="11.28515625" customWidth="1"/>
    <col min="5" max="7" width="11.140625" customWidth="1"/>
    <col min="8" max="8" width="11.42578125" customWidth="1"/>
    <col min="9" max="9" width="11" customWidth="1"/>
    <col min="10" max="10" width="11.28515625" customWidth="1"/>
    <col min="11" max="11" width="12.85546875" customWidth="1"/>
    <col min="12" max="12" width="11.140625" customWidth="1"/>
    <col min="13" max="13" width="10.7109375" customWidth="1"/>
    <col min="14" max="15" width="11.140625" customWidth="1"/>
    <col min="16" max="16" width="11.28515625" customWidth="1"/>
    <col min="17" max="17" width="11.140625" customWidth="1"/>
  </cols>
  <sheetData>
    <row r="1" spans="1:17" s="1" customFormat="1" ht="16.7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s="3" customFormat="1" ht="14.4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s="3" customFormat="1" ht="14.4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3.35" customHeight="1" x14ac:dyDescent="0.2"/>
    <row r="5" spans="1:17" s="5" customFormat="1" ht="12.2" customHeight="1" x14ac:dyDescent="0.2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N5" s="7" t="s">
        <v>16</v>
      </c>
      <c r="O5" s="7" t="s">
        <v>17</v>
      </c>
      <c r="P5" s="7" t="s">
        <v>18</v>
      </c>
      <c r="Q5" s="7" t="s">
        <v>19</v>
      </c>
    </row>
    <row r="6" spans="1:17" ht="13.35" customHeight="1" x14ac:dyDescent="0.2"/>
    <row r="7" spans="1:17" s="5" customFormat="1" ht="12.2" customHeight="1" x14ac:dyDescent="0.2">
      <c r="A7" s="8" t="s">
        <v>20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ht="10.9" customHeight="1" x14ac:dyDescent="0.2">
      <c r="A8" s="9" t="s">
        <v>21</v>
      </c>
      <c r="B8" s="10">
        <v>403844.89</v>
      </c>
      <c r="C8" s="10">
        <v>436769.89</v>
      </c>
      <c r="D8" s="10">
        <v>532287.30000000005</v>
      </c>
      <c r="E8" s="10">
        <v>413006.72</v>
      </c>
      <c r="F8" s="10">
        <v>150801.14000000001</v>
      </c>
      <c r="G8" s="10">
        <v>306315.55</v>
      </c>
      <c r="H8" s="10">
        <v>649695.54</v>
      </c>
      <c r="I8" s="10">
        <v>18472.5</v>
      </c>
      <c r="J8" s="10">
        <v>176719.81</v>
      </c>
      <c r="K8" s="10">
        <v>167230.22</v>
      </c>
      <c r="L8" s="10">
        <v>150869.6</v>
      </c>
      <c r="M8" s="10">
        <v>28774.21</v>
      </c>
      <c r="N8" s="10">
        <v>479913.63</v>
      </c>
      <c r="O8" s="10">
        <v>692528.31</v>
      </c>
      <c r="P8" s="10">
        <v>255121.93</v>
      </c>
      <c r="Q8" s="10">
        <v>593041.56999999995</v>
      </c>
    </row>
    <row r="9" spans="1:17" ht="10.9" customHeight="1" x14ac:dyDescent="0.2">
      <c r="A9" s="11" t="s">
        <v>22</v>
      </c>
      <c r="B9" s="12">
        <f t="shared" ref="B9:Q9" si="0">B8</f>
        <v>403844.89</v>
      </c>
      <c r="C9" s="12">
        <f t="shared" si="0"/>
        <v>436769.89</v>
      </c>
      <c r="D9" s="12">
        <f t="shared" si="0"/>
        <v>532287.30000000005</v>
      </c>
      <c r="E9" s="12">
        <f t="shared" si="0"/>
        <v>413006.72</v>
      </c>
      <c r="F9" s="12">
        <f t="shared" si="0"/>
        <v>150801.14000000001</v>
      </c>
      <c r="G9" s="12">
        <f t="shared" si="0"/>
        <v>306315.55</v>
      </c>
      <c r="H9" s="12">
        <f t="shared" si="0"/>
        <v>649695.54</v>
      </c>
      <c r="I9" s="12">
        <f t="shared" si="0"/>
        <v>18472.5</v>
      </c>
      <c r="J9" s="12">
        <f t="shared" si="0"/>
        <v>176719.81</v>
      </c>
      <c r="K9" s="12">
        <f t="shared" si="0"/>
        <v>167230.22</v>
      </c>
      <c r="L9" s="12">
        <f t="shared" si="0"/>
        <v>150869.6</v>
      </c>
      <c r="M9" s="12">
        <f t="shared" si="0"/>
        <v>28774.21</v>
      </c>
      <c r="N9" s="12">
        <f t="shared" si="0"/>
        <v>479913.63</v>
      </c>
      <c r="O9" s="12">
        <f t="shared" si="0"/>
        <v>692528.31</v>
      </c>
      <c r="P9" s="12">
        <f t="shared" si="0"/>
        <v>255121.93</v>
      </c>
      <c r="Q9" s="12">
        <f t="shared" si="0"/>
        <v>593041.56999999995</v>
      </c>
    </row>
    <row r="10" spans="1:17" ht="13.35" customHeight="1" x14ac:dyDescent="0.2"/>
    <row r="11" spans="1:17" s="5" customFormat="1" ht="12.2" customHeight="1" x14ac:dyDescent="0.2">
      <c r="A11" s="8" t="s">
        <v>23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ht="10.9" customHeight="1" x14ac:dyDescent="0.2">
      <c r="A12" s="9" t="s">
        <v>24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4111.62</v>
      </c>
      <c r="O12" s="10">
        <v>0</v>
      </c>
      <c r="P12" s="10">
        <v>0</v>
      </c>
      <c r="Q12" s="10">
        <v>0</v>
      </c>
    </row>
    <row r="13" spans="1:17" ht="10.9" customHeight="1" x14ac:dyDescent="0.2">
      <c r="A13" s="13" t="s">
        <v>25</v>
      </c>
      <c r="B13" s="14">
        <v>14874.29</v>
      </c>
      <c r="C13" s="14">
        <v>16072.61</v>
      </c>
      <c r="D13" s="14">
        <v>18110.740000000002</v>
      </c>
      <c r="E13" s="14">
        <v>16389.16</v>
      </c>
      <c r="F13" s="14">
        <v>1675.62</v>
      </c>
      <c r="G13" s="14">
        <v>14476.64</v>
      </c>
      <c r="H13" s="14">
        <v>11891.82</v>
      </c>
      <c r="I13" s="14">
        <v>5241.5200000000004</v>
      </c>
      <c r="J13" s="14">
        <v>9234.2000000000007</v>
      </c>
      <c r="K13" s="14">
        <v>2715.35</v>
      </c>
      <c r="L13" s="14">
        <v>1543.11</v>
      </c>
      <c r="M13" s="14">
        <v>0</v>
      </c>
      <c r="N13" s="14">
        <v>7928.96</v>
      </c>
      <c r="O13" s="14">
        <v>5296.86</v>
      </c>
      <c r="P13" s="14">
        <v>7793.62</v>
      </c>
      <c r="Q13" s="14">
        <v>3577.7</v>
      </c>
    </row>
    <row r="14" spans="1:17" ht="10.9" customHeight="1" x14ac:dyDescent="0.2">
      <c r="A14" s="13" t="s">
        <v>26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3811.03</v>
      </c>
      <c r="P14" s="14">
        <v>2176.56</v>
      </c>
      <c r="Q14" s="14">
        <v>0</v>
      </c>
    </row>
    <row r="15" spans="1:17" ht="10.9" customHeight="1" x14ac:dyDescent="0.2">
      <c r="A15" s="13" t="s">
        <v>27</v>
      </c>
      <c r="B15" s="14">
        <v>10000</v>
      </c>
      <c r="C15" s="14">
        <v>12027.28</v>
      </c>
      <c r="D15" s="14">
        <v>7045.45</v>
      </c>
      <c r="E15" s="14">
        <v>4631</v>
      </c>
      <c r="F15" s="14">
        <v>31609.09</v>
      </c>
      <c r="G15" s="14">
        <v>628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</row>
    <row r="16" spans="1:17" ht="10.9" customHeight="1" x14ac:dyDescent="0.2">
      <c r="A16" s="13" t="s">
        <v>28</v>
      </c>
      <c r="B16" s="14">
        <v>12747.89</v>
      </c>
      <c r="C16" s="14">
        <v>7258.05</v>
      </c>
      <c r="D16" s="14">
        <v>2654.94</v>
      </c>
      <c r="E16" s="14">
        <v>9202.23</v>
      </c>
      <c r="F16" s="14">
        <v>2164.91</v>
      </c>
      <c r="G16" s="14">
        <v>3412.64</v>
      </c>
      <c r="H16" s="14">
        <v>14368.43</v>
      </c>
      <c r="I16" s="14">
        <v>2797</v>
      </c>
      <c r="J16" s="14">
        <v>16051.2</v>
      </c>
      <c r="K16" s="14">
        <v>469.82</v>
      </c>
      <c r="L16" s="14">
        <v>4097.6099999999997</v>
      </c>
      <c r="M16" s="14">
        <v>1098.2</v>
      </c>
      <c r="N16" s="14">
        <v>3649.02</v>
      </c>
      <c r="O16" s="14">
        <v>6983.56</v>
      </c>
      <c r="P16" s="14">
        <v>5982.97</v>
      </c>
      <c r="Q16" s="14">
        <v>1698.52</v>
      </c>
    </row>
    <row r="17" spans="1:17" ht="10.9" customHeight="1" x14ac:dyDescent="0.2">
      <c r="A17" s="13" t="s">
        <v>29</v>
      </c>
      <c r="B17" s="14">
        <v>57866.23</v>
      </c>
      <c r="C17" s="14">
        <v>91025.44</v>
      </c>
      <c r="D17" s="14">
        <v>161465.99</v>
      </c>
      <c r="E17" s="14">
        <v>94412.45</v>
      </c>
      <c r="F17" s="14">
        <v>48150.58</v>
      </c>
      <c r="G17" s="14">
        <v>41950.65</v>
      </c>
      <c r="H17" s="14">
        <v>203314.34</v>
      </c>
      <c r="I17" s="14">
        <v>0</v>
      </c>
      <c r="J17" s="14">
        <v>64972.49</v>
      </c>
      <c r="K17" s="14">
        <v>5428.35</v>
      </c>
      <c r="L17" s="14">
        <v>50573.84</v>
      </c>
      <c r="M17" s="14">
        <v>1144</v>
      </c>
      <c r="N17" s="14">
        <v>58528.3</v>
      </c>
      <c r="O17" s="14">
        <v>80672.44</v>
      </c>
      <c r="P17" s="14">
        <v>35531.519999999997</v>
      </c>
      <c r="Q17" s="14">
        <v>70155.81</v>
      </c>
    </row>
    <row r="18" spans="1:17" ht="10.9" customHeight="1" x14ac:dyDescent="0.2">
      <c r="A18" s="13" t="s">
        <v>30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75233.710000000006</v>
      </c>
      <c r="P18" s="14">
        <v>22356.59</v>
      </c>
      <c r="Q18" s="14">
        <v>58018.080000000002</v>
      </c>
    </row>
    <row r="19" spans="1:17" ht="10.9" customHeight="1" x14ac:dyDescent="0.2">
      <c r="A19" s="13" t="s">
        <v>31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12272.73</v>
      </c>
      <c r="L19" s="14">
        <v>2753.57</v>
      </c>
      <c r="M19" s="14">
        <v>8040</v>
      </c>
      <c r="N19" s="14">
        <v>17229.98</v>
      </c>
      <c r="O19" s="14">
        <v>0</v>
      </c>
      <c r="P19" s="14">
        <v>0</v>
      </c>
      <c r="Q19" s="14">
        <v>0</v>
      </c>
    </row>
    <row r="20" spans="1:17" ht="10.9" customHeight="1" x14ac:dyDescent="0.2">
      <c r="A20" s="13" t="s">
        <v>32</v>
      </c>
      <c r="B20" s="14">
        <v>81153.600000000006</v>
      </c>
      <c r="C20" s="14">
        <v>33923.800000000003</v>
      </c>
      <c r="D20" s="14">
        <v>36966.160000000003</v>
      </c>
      <c r="E20" s="14">
        <v>18299.759999999998</v>
      </c>
      <c r="F20" s="14">
        <v>10601</v>
      </c>
      <c r="G20" s="14">
        <v>18545.34</v>
      </c>
      <c r="H20" s="14">
        <v>36732.65</v>
      </c>
      <c r="I20" s="14">
        <v>220</v>
      </c>
      <c r="J20" s="14">
        <v>26494.14</v>
      </c>
      <c r="K20" s="14">
        <v>3249.83</v>
      </c>
      <c r="L20" s="14">
        <v>700.11</v>
      </c>
      <c r="M20" s="14">
        <v>13324.18</v>
      </c>
      <c r="N20" s="14">
        <v>30571.08</v>
      </c>
      <c r="O20" s="14">
        <v>8687.35</v>
      </c>
      <c r="P20" s="14">
        <v>10781.65</v>
      </c>
      <c r="Q20" s="14">
        <v>3727.8</v>
      </c>
    </row>
    <row r="21" spans="1:17" ht="10.9" customHeight="1" x14ac:dyDescent="0.2">
      <c r="A21" s="13" t="s">
        <v>33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385.89</v>
      </c>
      <c r="L21" s="14">
        <v>2623.23</v>
      </c>
      <c r="M21" s="14">
        <v>3423.34</v>
      </c>
      <c r="N21" s="14">
        <v>2475.63</v>
      </c>
      <c r="O21" s="14">
        <v>1314.85</v>
      </c>
      <c r="P21" s="14">
        <v>1632.73</v>
      </c>
      <c r="Q21" s="14">
        <v>2061.0700000000002</v>
      </c>
    </row>
    <row r="22" spans="1:17" ht="10.9" customHeight="1" x14ac:dyDescent="0.2">
      <c r="A22" s="13" t="s">
        <v>34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1.35</v>
      </c>
      <c r="K22" s="14">
        <v>66.53</v>
      </c>
      <c r="L22" s="14">
        <v>116.07</v>
      </c>
      <c r="M22" s="14">
        <v>242.43</v>
      </c>
      <c r="N22" s="14">
        <v>867.88</v>
      </c>
      <c r="O22" s="14">
        <v>1430.81</v>
      </c>
      <c r="P22" s="14">
        <v>388.8</v>
      </c>
      <c r="Q22" s="14">
        <v>113.81</v>
      </c>
    </row>
    <row r="23" spans="1:17" ht="10.9" customHeight="1" x14ac:dyDescent="0.2">
      <c r="A23" s="13" t="s">
        <v>35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17.72</v>
      </c>
      <c r="O23" s="14">
        <v>15.45</v>
      </c>
      <c r="P23" s="14">
        <v>552.27</v>
      </c>
      <c r="Q23" s="14">
        <v>81.86</v>
      </c>
    </row>
    <row r="24" spans="1:17" ht="10.9" customHeight="1" x14ac:dyDescent="0.2">
      <c r="A24" s="13" t="s">
        <v>36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82.52</v>
      </c>
      <c r="K24" s="14">
        <v>984.13</v>
      </c>
      <c r="L24" s="14">
        <v>493.43</v>
      </c>
      <c r="M24" s="14">
        <v>483.66</v>
      </c>
      <c r="N24" s="14">
        <v>2173.2600000000002</v>
      </c>
      <c r="O24" s="14">
        <v>1128.72</v>
      </c>
      <c r="P24" s="14">
        <v>1556.7</v>
      </c>
      <c r="Q24" s="14">
        <v>1186.1099999999999</v>
      </c>
    </row>
    <row r="25" spans="1:17" ht="10.9" customHeight="1" x14ac:dyDescent="0.2">
      <c r="A25" s="13" t="s">
        <v>37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1552</v>
      </c>
      <c r="L25" s="14">
        <v>909.5</v>
      </c>
      <c r="M25" s="14">
        <v>3628.12</v>
      </c>
      <c r="N25" s="14">
        <v>2782.51</v>
      </c>
      <c r="O25" s="14">
        <v>5430.85</v>
      </c>
      <c r="P25" s="14">
        <v>3697.5</v>
      </c>
      <c r="Q25" s="14">
        <v>0</v>
      </c>
    </row>
    <row r="26" spans="1:17" ht="10.9" customHeight="1" x14ac:dyDescent="0.2">
      <c r="A26" s="13" t="s">
        <v>38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40.99</v>
      </c>
      <c r="M26" s="14">
        <v>98.8</v>
      </c>
      <c r="N26" s="14">
        <v>1817.65</v>
      </c>
      <c r="O26" s="14">
        <v>138.96</v>
      </c>
      <c r="P26" s="14">
        <v>1755</v>
      </c>
      <c r="Q26" s="14">
        <v>1920.53</v>
      </c>
    </row>
    <row r="27" spans="1:17" ht="10.9" customHeight="1" x14ac:dyDescent="0.2">
      <c r="A27" s="13" t="s">
        <v>39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1245</v>
      </c>
      <c r="P27" s="14">
        <v>0</v>
      </c>
      <c r="Q27" s="14">
        <v>4743.09</v>
      </c>
    </row>
    <row r="28" spans="1:17" ht="10.9" customHeight="1" x14ac:dyDescent="0.2">
      <c r="A28" s="13" t="s">
        <v>40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522.5</v>
      </c>
      <c r="L28" s="14">
        <v>235</v>
      </c>
      <c r="M28" s="14">
        <v>1175</v>
      </c>
      <c r="N28" s="14">
        <v>30132.7</v>
      </c>
      <c r="O28" s="14">
        <v>6614.94</v>
      </c>
      <c r="P28" s="14">
        <v>5725.75</v>
      </c>
      <c r="Q28" s="14">
        <v>5684.28</v>
      </c>
    </row>
    <row r="29" spans="1:17" ht="10.9" customHeight="1" x14ac:dyDescent="0.2">
      <c r="A29" s="13" t="s">
        <v>41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703.57</v>
      </c>
      <c r="K29" s="14">
        <v>776.59</v>
      </c>
      <c r="L29" s="14">
        <v>865.19</v>
      </c>
      <c r="M29" s="14">
        <v>1117.74</v>
      </c>
      <c r="N29" s="14">
        <v>3944.52</v>
      </c>
      <c r="O29" s="14">
        <v>3468.57</v>
      </c>
      <c r="P29" s="14">
        <v>2608.92</v>
      </c>
      <c r="Q29" s="14">
        <v>2296.79</v>
      </c>
    </row>
    <row r="30" spans="1:17" ht="10.9" customHeight="1" x14ac:dyDescent="0.2">
      <c r="A30" s="13" t="s">
        <v>42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516.92999999999995</v>
      </c>
      <c r="O30" s="14">
        <v>678.25</v>
      </c>
      <c r="P30" s="14">
        <v>244.28</v>
      </c>
      <c r="Q30" s="14">
        <v>0</v>
      </c>
    </row>
    <row r="31" spans="1:17" ht="10.9" customHeight="1" x14ac:dyDescent="0.2">
      <c r="A31" s="13" t="s">
        <v>43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236.36</v>
      </c>
      <c r="Q31" s="14">
        <v>0</v>
      </c>
    </row>
    <row r="32" spans="1:17" ht="10.9" customHeight="1" x14ac:dyDescent="0.2">
      <c r="A32" s="13" t="s">
        <v>44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-46.65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</row>
    <row r="33" spans="1:17" ht="10.9" customHeight="1" x14ac:dyDescent="0.2">
      <c r="A33" s="13" t="s">
        <v>45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567.92999999999995</v>
      </c>
      <c r="K33" s="14">
        <v>6314.79</v>
      </c>
      <c r="L33" s="14">
        <v>8734.01</v>
      </c>
      <c r="M33" s="14">
        <v>2913.8</v>
      </c>
      <c r="N33" s="14">
        <v>4513.1499999999996</v>
      </c>
      <c r="O33" s="14">
        <v>9100</v>
      </c>
      <c r="P33" s="14">
        <v>3758.35</v>
      </c>
      <c r="Q33" s="14">
        <v>6702.7</v>
      </c>
    </row>
    <row r="34" spans="1:17" ht="10.9" customHeight="1" x14ac:dyDescent="0.2">
      <c r="A34" s="13" t="s">
        <v>46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1695.66</v>
      </c>
      <c r="K34" s="14">
        <v>1604.3</v>
      </c>
      <c r="L34" s="14">
        <v>0</v>
      </c>
      <c r="M34" s="14">
        <v>0</v>
      </c>
      <c r="N34" s="14">
        <v>1930.58</v>
      </c>
      <c r="O34" s="14">
        <v>8350.5499999999993</v>
      </c>
      <c r="P34" s="14">
        <v>916.15</v>
      </c>
      <c r="Q34" s="14">
        <v>3197.34</v>
      </c>
    </row>
    <row r="35" spans="1:17" ht="10.9" customHeight="1" x14ac:dyDescent="0.2">
      <c r="A35" s="13" t="s">
        <v>47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139.75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</row>
    <row r="36" spans="1:17" ht="10.9" customHeight="1" x14ac:dyDescent="0.2">
      <c r="A36" s="11" t="s">
        <v>48</v>
      </c>
      <c r="B36" s="12">
        <f t="shared" ref="B36:Q36" si="1">SUM(B12:B35)</f>
        <v>176642.01</v>
      </c>
      <c r="C36" s="12">
        <f t="shared" si="1"/>
        <v>160307.18</v>
      </c>
      <c r="D36" s="12">
        <f t="shared" si="1"/>
        <v>226243.28</v>
      </c>
      <c r="E36" s="12">
        <f t="shared" si="1"/>
        <v>142934.6</v>
      </c>
      <c r="F36" s="12">
        <f t="shared" si="1"/>
        <v>94201.2</v>
      </c>
      <c r="G36" s="12">
        <f t="shared" si="1"/>
        <v>79013.27</v>
      </c>
      <c r="H36" s="12">
        <f t="shared" si="1"/>
        <v>266307.24</v>
      </c>
      <c r="I36" s="12">
        <f t="shared" si="1"/>
        <v>8258.52</v>
      </c>
      <c r="J36" s="12">
        <f t="shared" si="1"/>
        <v>119803.06000000001</v>
      </c>
      <c r="K36" s="12">
        <f t="shared" si="1"/>
        <v>36482.560000000005</v>
      </c>
      <c r="L36" s="12">
        <f t="shared" si="1"/>
        <v>73639.009999999995</v>
      </c>
      <c r="M36" s="12">
        <f t="shared" si="1"/>
        <v>36689.270000000004</v>
      </c>
      <c r="N36" s="12">
        <f t="shared" si="1"/>
        <v>173191.49</v>
      </c>
      <c r="O36" s="12">
        <f t="shared" si="1"/>
        <v>219601.90000000002</v>
      </c>
      <c r="P36" s="12">
        <f t="shared" si="1"/>
        <v>107695.71999999999</v>
      </c>
      <c r="Q36" s="12">
        <f t="shared" si="1"/>
        <v>165165.48999999996</v>
      </c>
    </row>
    <row r="37" spans="1:17" ht="13.35" customHeight="1" x14ac:dyDescent="0.2"/>
    <row r="38" spans="1:17" ht="10.9" customHeight="1" x14ac:dyDescent="0.2">
      <c r="A38" s="15" t="s">
        <v>49</v>
      </c>
      <c r="B38" s="16">
        <f t="shared" ref="B38:Q38" si="2">(B9 - B36)</f>
        <v>227202.88</v>
      </c>
      <c r="C38" s="16">
        <f t="shared" si="2"/>
        <v>276462.71000000002</v>
      </c>
      <c r="D38" s="16">
        <f t="shared" si="2"/>
        <v>306044.02</v>
      </c>
      <c r="E38" s="16">
        <f t="shared" si="2"/>
        <v>270072.12</v>
      </c>
      <c r="F38" s="16">
        <f t="shared" si="2"/>
        <v>56599.940000000017</v>
      </c>
      <c r="G38" s="16">
        <f t="shared" si="2"/>
        <v>227302.27999999997</v>
      </c>
      <c r="H38" s="16">
        <f t="shared" si="2"/>
        <v>383388.30000000005</v>
      </c>
      <c r="I38" s="16">
        <f t="shared" si="2"/>
        <v>10213.98</v>
      </c>
      <c r="J38" s="16">
        <f t="shared" si="2"/>
        <v>56916.749999999985</v>
      </c>
      <c r="K38" s="16">
        <f t="shared" si="2"/>
        <v>130747.66</v>
      </c>
      <c r="L38" s="16">
        <f t="shared" si="2"/>
        <v>77230.590000000011</v>
      </c>
      <c r="M38" s="16">
        <f t="shared" si="2"/>
        <v>-7915.0600000000049</v>
      </c>
      <c r="N38" s="16">
        <f t="shared" si="2"/>
        <v>306722.14</v>
      </c>
      <c r="O38" s="16">
        <f t="shared" si="2"/>
        <v>472926.41000000003</v>
      </c>
      <c r="P38" s="16">
        <f t="shared" si="2"/>
        <v>147426.21000000002</v>
      </c>
      <c r="Q38" s="16">
        <f t="shared" si="2"/>
        <v>427876.07999999996</v>
      </c>
    </row>
    <row r="39" spans="1:17" ht="13.35" customHeight="1" x14ac:dyDescent="0.2"/>
    <row r="40" spans="1:17" s="5" customFormat="1" ht="12.2" customHeight="1" x14ac:dyDescent="0.2">
      <c r="A40" s="8" t="s">
        <v>50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 ht="10.9" customHeight="1" x14ac:dyDescent="0.2">
      <c r="A41" s="9" t="s">
        <v>51</v>
      </c>
      <c r="B41" s="10">
        <v>0</v>
      </c>
      <c r="C41" s="10">
        <v>0</v>
      </c>
      <c r="D41" s="10">
        <v>117.82</v>
      </c>
      <c r="E41" s="10">
        <v>0</v>
      </c>
      <c r="F41" s="10">
        <v>361.06</v>
      </c>
      <c r="G41" s="10">
        <v>219.62</v>
      </c>
      <c r="H41" s="10">
        <v>401.05</v>
      </c>
      <c r="I41" s="10">
        <v>164.78</v>
      </c>
      <c r="J41" s="10">
        <v>0</v>
      </c>
      <c r="K41" s="10">
        <v>20.43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</row>
    <row r="42" spans="1:17" ht="10.9" customHeight="1" x14ac:dyDescent="0.2">
      <c r="A42" s="13" t="s">
        <v>52</v>
      </c>
      <c r="B42" s="14">
        <v>3880.62</v>
      </c>
      <c r="C42" s="14">
        <v>3887.15</v>
      </c>
      <c r="D42" s="14">
        <v>3410.31</v>
      </c>
      <c r="E42" s="14">
        <v>507.1</v>
      </c>
      <c r="F42" s="14">
        <v>0</v>
      </c>
      <c r="G42" s="14">
        <v>0</v>
      </c>
      <c r="H42" s="14">
        <v>0</v>
      </c>
      <c r="I42" s="14">
        <v>196.84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</row>
    <row r="43" spans="1:17" ht="10.9" customHeight="1" x14ac:dyDescent="0.2">
      <c r="A43" s="11" t="s">
        <v>53</v>
      </c>
      <c r="B43" s="12">
        <f t="shared" ref="B43:Q43" si="3">SUM(B41:B42)</f>
        <v>3880.62</v>
      </c>
      <c r="C43" s="12">
        <f t="shared" si="3"/>
        <v>3887.15</v>
      </c>
      <c r="D43" s="12">
        <f t="shared" si="3"/>
        <v>3528.13</v>
      </c>
      <c r="E43" s="12">
        <f t="shared" si="3"/>
        <v>507.1</v>
      </c>
      <c r="F43" s="12">
        <f t="shared" si="3"/>
        <v>361.06</v>
      </c>
      <c r="G43" s="12">
        <f t="shared" si="3"/>
        <v>219.62</v>
      </c>
      <c r="H43" s="12">
        <f t="shared" si="3"/>
        <v>401.05</v>
      </c>
      <c r="I43" s="12">
        <f t="shared" si="3"/>
        <v>361.62</v>
      </c>
      <c r="J43" s="12">
        <f t="shared" si="3"/>
        <v>0</v>
      </c>
      <c r="K43" s="12">
        <f t="shared" si="3"/>
        <v>20.43</v>
      </c>
      <c r="L43" s="12">
        <f t="shared" si="3"/>
        <v>0</v>
      </c>
      <c r="M43" s="12">
        <f t="shared" si="3"/>
        <v>0</v>
      </c>
      <c r="N43" s="12">
        <f t="shared" si="3"/>
        <v>0</v>
      </c>
      <c r="O43" s="12">
        <f t="shared" si="3"/>
        <v>0</v>
      </c>
      <c r="P43" s="12">
        <f t="shared" si="3"/>
        <v>0</v>
      </c>
      <c r="Q43" s="12">
        <f t="shared" si="3"/>
        <v>0</v>
      </c>
    </row>
    <row r="44" spans="1:17" ht="13.35" customHeight="1" x14ac:dyDescent="0.2"/>
    <row r="45" spans="1:17" s="5" customFormat="1" ht="12.2" customHeight="1" x14ac:dyDescent="0.2">
      <c r="A45" s="8" t="s">
        <v>54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 ht="10.9" customHeight="1" x14ac:dyDescent="0.2">
      <c r="A46" s="9" t="s">
        <v>55</v>
      </c>
      <c r="B46" s="10">
        <v>6616.05</v>
      </c>
      <c r="C46" s="10">
        <v>8169</v>
      </c>
      <c r="D46" s="10">
        <v>6583.02</v>
      </c>
      <c r="E46" s="10">
        <v>6402.55</v>
      </c>
      <c r="F46" s="10">
        <v>3951.44</v>
      </c>
      <c r="G46" s="10">
        <v>8431.59</v>
      </c>
      <c r="H46" s="10">
        <v>20196.919999999998</v>
      </c>
      <c r="I46" s="10">
        <v>3132.94</v>
      </c>
      <c r="J46" s="10">
        <v>5310.35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</row>
    <row r="47" spans="1:17" ht="10.9" customHeight="1" x14ac:dyDescent="0.2">
      <c r="A47" s="13" t="s">
        <v>56</v>
      </c>
      <c r="B47" s="14">
        <v>0</v>
      </c>
      <c r="C47" s="14">
        <v>0</v>
      </c>
      <c r="D47" s="14">
        <v>3500</v>
      </c>
      <c r="E47" s="14">
        <v>0</v>
      </c>
      <c r="F47" s="14">
        <v>1150</v>
      </c>
      <c r="G47" s="14">
        <v>26605.91</v>
      </c>
      <c r="H47" s="14">
        <v>2920.57</v>
      </c>
      <c r="I47" s="14">
        <v>1200</v>
      </c>
      <c r="J47" s="14">
        <v>0</v>
      </c>
      <c r="K47" s="14">
        <v>2900</v>
      </c>
      <c r="L47" s="14">
        <v>0</v>
      </c>
      <c r="M47" s="14">
        <v>0</v>
      </c>
      <c r="N47" s="14">
        <v>600</v>
      </c>
      <c r="O47" s="14">
        <v>0</v>
      </c>
      <c r="P47" s="14">
        <v>0</v>
      </c>
      <c r="Q47" s="14">
        <v>0</v>
      </c>
    </row>
    <row r="48" spans="1:17" ht="10.9" customHeight="1" x14ac:dyDescent="0.2">
      <c r="A48" s="13" t="s">
        <v>57</v>
      </c>
      <c r="B48" s="14">
        <v>575.78</v>
      </c>
      <c r="C48" s="14">
        <v>0</v>
      </c>
      <c r="D48" s="14">
        <v>868.42</v>
      </c>
      <c r="E48" s="14">
        <v>142.97999999999999</v>
      </c>
      <c r="F48" s="14">
        <v>0</v>
      </c>
      <c r="G48" s="14">
        <v>0</v>
      </c>
      <c r="H48" s="14">
        <v>0</v>
      </c>
      <c r="I48" s="14">
        <v>365</v>
      </c>
      <c r="J48" s="14">
        <v>0</v>
      </c>
      <c r="K48" s="14">
        <v>63.63</v>
      </c>
      <c r="L48" s="14">
        <v>63.63</v>
      </c>
      <c r="M48" s="14">
        <v>63.63</v>
      </c>
      <c r="N48" s="14">
        <v>63.63</v>
      </c>
      <c r="O48" s="14">
        <v>63.63</v>
      </c>
      <c r="P48" s="14">
        <v>63.63</v>
      </c>
      <c r="Q48" s="14">
        <v>63.63</v>
      </c>
    </row>
    <row r="49" spans="1:17" ht="10.9" customHeight="1" x14ac:dyDescent="0.2">
      <c r="A49" s="13" t="s">
        <v>58</v>
      </c>
      <c r="B49" s="14">
        <v>44.25</v>
      </c>
      <c r="C49" s="14">
        <v>57.32</v>
      </c>
      <c r="D49" s="14">
        <v>807.8</v>
      </c>
      <c r="E49" s="14">
        <v>24.84</v>
      </c>
      <c r="F49" s="14">
        <v>-111.56</v>
      </c>
      <c r="G49" s="14">
        <v>64.17</v>
      </c>
      <c r="H49" s="14">
        <v>18.18</v>
      </c>
      <c r="I49" s="14">
        <v>0</v>
      </c>
      <c r="J49" s="14">
        <v>-35.729999999999997</v>
      </c>
      <c r="K49" s="14">
        <v>0</v>
      </c>
      <c r="L49" s="14">
        <v>0</v>
      </c>
      <c r="M49" s="14">
        <v>6500</v>
      </c>
      <c r="N49" s="14">
        <v>0</v>
      </c>
      <c r="O49" s="14">
        <v>12</v>
      </c>
      <c r="P49" s="14">
        <v>625</v>
      </c>
      <c r="Q49" s="14">
        <v>0</v>
      </c>
    </row>
    <row r="50" spans="1:17" ht="10.9" customHeight="1" x14ac:dyDescent="0.2">
      <c r="A50" s="13" t="s">
        <v>59</v>
      </c>
      <c r="B50" s="14">
        <v>361.62</v>
      </c>
      <c r="C50" s="14">
        <v>877.91</v>
      </c>
      <c r="D50" s="14">
        <v>970.91</v>
      </c>
      <c r="E50" s="14">
        <v>1352.71</v>
      </c>
      <c r="F50" s="14">
        <v>0</v>
      </c>
      <c r="G50" s="14">
        <v>795.78</v>
      </c>
      <c r="H50" s="14">
        <v>809.18</v>
      </c>
      <c r="I50" s="14">
        <v>247.09</v>
      </c>
      <c r="J50" s="14">
        <v>424.08</v>
      </c>
      <c r="K50" s="14">
        <v>6.25</v>
      </c>
      <c r="L50" s="14">
        <v>285.14</v>
      </c>
      <c r="M50" s="14">
        <v>6.25</v>
      </c>
      <c r="N50" s="14">
        <v>571.25</v>
      </c>
      <c r="O50" s="14">
        <v>283.37</v>
      </c>
      <c r="P50" s="14">
        <v>290.16000000000003</v>
      </c>
      <c r="Q50" s="14">
        <v>266.51</v>
      </c>
    </row>
    <row r="51" spans="1:17" ht="10.9" customHeight="1" x14ac:dyDescent="0.2">
      <c r="A51" s="13" t="s">
        <v>60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59.55</v>
      </c>
      <c r="L51" s="14">
        <v>59.55</v>
      </c>
      <c r="M51" s="14">
        <v>145.69</v>
      </c>
      <c r="N51" s="14">
        <v>812.07</v>
      </c>
      <c r="O51" s="14">
        <v>60.91</v>
      </c>
      <c r="P51" s="14">
        <v>70.45</v>
      </c>
      <c r="Q51" s="14">
        <v>108.47</v>
      </c>
    </row>
    <row r="52" spans="1:17" ht="10.9" customHeight="1" x14ac:dyDescent="0.2">
      <c r="A52" s="13" t="s">
        <v>61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760.9</v>
      </c>
      <c r="H52" s="14">
        <v>439.16</v>
      </c>
      <c r="I52" s="14">
        <v>109.83</v>
      </c>
      <c r="J52" s="14">
        <v>14833.88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</row>
    <row r="53" spans="1:17" ht="10.9" customHeight="1" x14ac:dyDescent="0.2">
      <c r="A53" s="13" t="s">
        <v>62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3446422.67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</row>
    <row r="54" spans="1:17" ht="10.9" customHeight="1" x14ac:dyDescent="0.2">
      <c r="A54" s="13" t="s">
        <v>63</v>
      </c>
      <c r="B54" s="14">
        <v>0</v>
      </c>
      <c r="C54" s="14">
        <v>1700.54</v>
      </c>
      <c r="D54" s="14">
        <v>0</v>
      </c>
      <c r="E54" s="14">
        <v>0</v>
      </c>
      <c r="F54" s="14">
        <v>701.79</v>
      </c>
      <c r="G54" s="14">
        <v>0</v>
      </c>
      <c r="H54" s="14">
        <v>1648.95</v>
      </c>
      <c r="I54" s="14">
        <v>0</v>
      </c>
      <c r="J54" s="14">
        <v>1473.22</v>
      </c>
      <c r="K54" s="14">
        <v>0</v>
      </c>
      <c r="L54" s="14">
        <v>0</v>
      </c>
      <c r="M54" s="14">
        <v>0</v>
      </c>
      <c r="N54" s="14">
        <v>1443.54</v>
      </c>
      <c r="O54" s="14">
        <v>1510.7</v>
      </c>
      <c r="P54" s="14">
        <v>0</v>
      </c>
      <c r="Q54" s="14">
        <v>0</v>
      </c>
    </row>
    <row r="55" spans="1:17" ht="10.9" customHeight="1" x14ac:dyDescent="0.2">
      <c r="A55" s="13" t="s">
        <v>64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310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</row>
    <row r="56" spans="1:17" ht="10.9" customHeight="1" x14ac:dyDescent="0.2">
      <c r="A56" s="13" t="s">
        <v>65</v>
      </c>
      <c r="B56" s="14">
        <v>0</v>
      </c>
      <c r="C56" s="14">
        <v>0</v>
      </c>
      <c r="D56" s="14">
        <v>0</v>
      </c>
      <c r="E56" s="14">
        <v>0</v>
      </c>
      <c r="F56" s="14">
        <v>215.54</v>
      </c>
      <c r="G56" s="14">
        <v>426.46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302.76</v>
      </c>
      <c r="N56" s="14">
        <v>211.2</v>
      </c>
      <c r="O56" s="14">
        <v>548.32000000000005</v>
      </c>
      <c r="P56" s="14">
        <v>0</v>
      </c>
      <c r="Q56" s="14">
        <v>86.22</v>
      </c>
    </row>
    <row r="57" spans="1:17" ht="10.9" customHeight="1" x14ac:dyDescent="0.2">
      <c r="A57" s="13" t="s">
        <v>66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1056.05</v>
      </c>
      <c r="N57" s="14">
        <v>0</v>
      </c>
      <c r="O57" s="14">
        <v>0</v>
      </c>
      <c r="P57" s="14">
        <v>0</v>
      </c>
      <c r="Q57" s="14">
        <v>0</v>
      </c>
    </row>
    <row r="58" spans="1:17" ht="10.9" customHeight="1" x14ac:dyDescent="0.2">
      <c r="A58" s="13" t="s">
        <v>67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23656.75</v>
      </c>
      <c r="H58" s="14">
        <v>0</v>
      </c>
      <c r="I58" s="14">
        <v>0</v>
      </c>
      <c r="J58" s="14">
        <v>341500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</row>
    <row r="59" spans="1:17" ht="10.9" customHeight="1" x14ac:dyDescent="0.2">
      <c r="A59" s="13" t="s">
        <v>68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819.89</v>
      </c>
      <c r="H59" s="14">
        <v>17598.7</v>
      </c>
      <c r="I59" s="14">
        <v>5715.45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</row>
    <row r="60" spans="1:17" ht="10.9" customHeight="1" x14ac:dyDescent="0.2">
      <c r="A60" s="13" t="s">
        <v>69</v>
      </c>
      <c r="B60" s="14">
        <v>-258.64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-2208.36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</row>
    <row r="61" spans="1:17" ht="10.9" customHeight="1" x14ac:dyDescent="0.2">
      <c r="A61" s="13" t="s">
        <v>70</v>
      </c>
      <c r="B61" s="14">
        <v>250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12833.17</v>
      </c>
      <c r="I61" s="14">
        <v>0</v>
      </c>
      <c r="J61" s="14">
        <v>3000</v>
      </c>
      <c r="K61" s="14">
        <v>3000</v>
      </c>
      <c r="L61" s="14">
        <v>3000</v>
      </c>
      <c r="M61" s="14">
        <v>4316.5600000000004</v>
      </c>
      <c r="N61" s="14">
        <v>3000</v>
      </c>
      <c r="O61" s="14">
        <v>3000</v>
      </c>
      <c r="P61" s="14">
        <v>0</v>
      </c>
      <c r="Q61" s="14">
        <v>0</v>
      </c>
    </row>
    <row r="62" spans="1:17" ht="10.9" customHeight="1" x14ac:dyDescent="0.2">
      <c r="A62" s="13" t="s">
        <v>71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3491.34</v>
      </c>
      <c r="P62" s="14">
        <v>0</v>
      </c>
      <c r="Q62" s="14">
        <v>0</v>
      </c>
    </row>
    <row r="63" spans="1:17" ht="10.9" customHeight="1" x14ac:dyDescent="0.2">
      <c r="A63" s="13" t="s">
        <v>72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410.91</v>
      </c>
      <c r="L63" s="14">
        <v>726.36</v>
      </c>
      <c r="M63" s="14">
        <v>0</v>
      </c>
      <c r="N63" s="14">
        <v>0</v>
      </c>
      <c r="O63" s="14">
        <v>475.25</v>
      </c>
      <c r="P63" s="14">
        <v>4430.28</v>
      </c>
      <c r="Q63" s="14">
        <v>5317.04</v>
      </c>
    </row>
    <row r="64" spans="1:17" ht="10.9" customHeight="1" x14ac:dyDescent="0.2">
      <c r="A64" s="13" t="s">
        <v>73</v>
      </c>
      <c r="B64" s="14">
        <v>1072.54</v>
      </c>
      <c r="C64" s="14">
        <v>4395.9399999999996</v>
      </c>
      <c r="D64" s="14">
        <v>1195.51</v>
      </c>
      <c r="E64" s="14">
        <v>3108.65</v>
      </c>
      <c r="F64" s="14">
        <v>13.18</v>
      </c>
      <c r="G64" s="14">
        <v>2144.9499999999998</v>
      </c>
      <c r="H64" s="14">
        <v>1900.86</v>
      </c>
      <c r="I64" s="14">
        <v>5495.11</v>
      </c>
      <c r="J64" s="14">
        <v>2271.6999999999998</v>
      </c>
      <c r="K64" s="14">
        <v>1908.62</v>
      </c>
      <c r="L64" s="14">
        <v>349.91</v>
      </c>
      <c r="M64" s="14">
        <v>862.14</v>
      </c>
      <c r="N64" s="14">
        <v>2097.4299999999998</v>
      </c>
      <c r="O64" s="14">
        <v>6289.1</v>
      </c>
      <c r="P64" s="14">
        <v>1224.01</v>
      </c>
      <c r="Q64" s="14">
        <v>11966</v>
      </c>
    </row>
    <row r="65" spans="1:17" ht="10.9" customHeight="1" x14ac:dyDescent="0.2">
      <c r="A65" s="13" t="s">
        <v>74</v>
      </c>
      <c r="B65" s="14">
        <v>4675.45</v>
      </c>
      <c r="C65" s="14">
        <v>3734.56</v>
      </c>
      <c r="D65" s="14">
        <v>2579.66</v>
      </c>
      <c r="E65" s="14">
        <v>1058.3900000000001</v>
      </c>
      <c r="F65" s="14">
        <v>241.67</v>
      </c>
      <c r="G65" s="14">
        <v>1326.88</v>
      </c>
      <c r="H65" s="14">
        <v>1033.17</v>
      </c>
      <c r="I65" s="14">
        <v>470.38</v>
      </c>
      <c r="J65" s="14">
        <v>754.79</v>
      </c>
      <c r="K65" s="14">
        <v>589.5</v>
      </c>
      <c r="L65" s="14">
        <v>-485.62</v>
      </c>
      <c r="M65" s="14">
        <v>1238.5</v>
      </c>
      <c r="N65" s="14">
        <v>548.99</v>
      </c>
      <c r="O65" s="14">
        <v>784.76</v>
      </c>
      <c r="P65" s="14">
        <v>310.85000000000002</v>
      </c>
      <c r="Q65" s="14">
        <v>298.67</v>
      </c>
    </row>
    <row r="66" spans="1:17" ht="10.9" customHeight="1" x14ac:dyDescent="0.2">
      <c r="A66" s="13" t="s">
        <v>75</v>
      </c>
      <c r="B66" s="14">
        <v>15416.67</v>
      </c>
      <c r="C66" s="14">
        <v>15416.67</v>
      </c>
      <c r="D66" s="14">
        <v>15416.67</v>
      </c>
      <c r="E66" s="14">
        <v>20846.88</v>
      </c>
      <c r="F66" s="14">
        <v>13312.67</v>
      </c>
      <c r="G66" s="14">
        <v>595</v>
      </c>
      <c r="H66" s="14">
        <v>15666.67</v>
      </c>
      <c r="I66" s="14">
        <v>19977.82</v>
      </c>
      <c r="J66" s="14">
        <v>20191.82</v>
      </c>
      <c r="K66" s="14">
        <v>9988.91</v>
      </c>
      <c r="L66" s="14">
        <v>9988.91</v>
      </c>
      <c r="M66" s="14">
        <v>9988.91</v>
      </c>
      <c r="N66" s="14">
        <v>9988.91</v>
      </c>
      <c r="O66" s="14">
        <v>9988.91</v>
      </c>
      <c r="P66" s="14">
        <v>0</v>
      </c>
      <c r="Q66" s="14">
        <v>0</v>
      </c>
    </row>
    <row r="67" spans="1:17" ht="10.9" customHeight="1" x14ac:dyDescent="0.2">
      <c r="A67" s="13" t="s">
        <v>76</v>
      </c>
      <c r="B67" s="14">
        <v>409.92</v>
      </c>
      <c r="C67" s="14">
        <v>8.32</v>
      </c>
      <c r="D67" s="14">
        <v>46.87</v>
      </c>
      <c r="E67" s="14">
        <v>31.82</v>
      </c>
      <c r="F67" s="14">
        <v>0</v>
      </c>
      <c r="G67" s="14">
        <v>119.33</v>
      </c>
      <c r="H67" s="14">
        <v>307.25</v>
      </c>
      <c r="I67" s="14">
        <v>0</v>
      </c>
      <c r="J67" s="14">
        <v>0</v>
      </c>
      <c r="K67" s="14">
        <v>67.25</v>
      </c>
      <c r="L67" s="14">
        <v>239.68</v>
      </c>
      <c r="M67" s="14">
        <v>70.13</v>
      </c>
      <c r="N67" s="14">
        <v>551.91</v>
      </c>
      <c r="O67" s="14">
        <v>0</v>
      </c>
      <c r="P67" s="14">
        <v>0</v>
      </c>
      <c r="Q67" s="14">
        <v>0</v>
      </c>
    </row>
    <row r="68" spans="1:17" ht="10.9" customHeight="1" x14ac:dyDescent="0.2">
      <c r="A68" s="13" t="s">
        <v>77</v>
      </c>
      <c r="B68" s="14">
        <v>10070.18</v>
      </c>
      <c r="C68" s="14">
        <v>30513.11</v>
      </c>
      <c r="D68" s="14">
        <v>18983.18</v>
      </c>
      <c r="E68" s="14">
        <v>7500</v>
      </c>
      <c r="F68" s="14">
        <v>5804.55</v>
      </c>
      <c r="G68" s="14">
        <v>27808.45</v>
      </c>
      <c r="H68" s="14">
        <v>8206.25</v>
      </c>
      <c r="I68" s="14">
        <v>2500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</row>
    <row r="69" spans="1:17" ht="10.9" customHeight="1" x14ac:dyDescent="0.2">
      <c r="A69" s="13" t="s">
        <v>78</v>
      </c>
      <c r="B69" s="14">
        <v>4362.3500000000004</v>
      </c>
      <c r="C69" s="14">
        <v>2828.72</v>
      </c>
      <c r="D69" s="14">
        <v>486.91</v>
      </c>
      <c r="E69" s="14">
        <v>2734.49</v>
      </c>
      <c r="F69" s="14">
        <v>14160.97</v>
      </c>
      <c r="G69" s="14">
        <v>7778.92</v>
      </c>
      <c r="H69" s="14">
        <v>10517.98</v>
      </c>
      <c r="I69" s="14">
        <v>2032.5</v>
      </c>
      <c r="J69" s="14">
        <v>711.25</v>
      </c>
      <c r="K69" s="14">
        <v>0</v>
      </c>
      <c r="L69" s="14">
        <v>3326.48</v>
      </c>
      <c r="M69" s="14">
        <v>0</v>
      </c>
      <c r="N69" s="14">
        <v>0</v>
      </c>
      <c r="O69" s="14">
        <v>0</v>
      </c>
      <c r="P69" s="14">
        <v>304.60000000000002</v>
      </c>
      <c r="Q69" s="14">
        <v>0</v>
      </c>
    </row>
    <row r="70" spans="1:17" ht="10.9" customHeight="1" x14ac:dyDescent="0.2">
      <c r="A70" s="13" t="s">
        <v>79</v>
      </c>
      <c r="B70" s="14">
        <v>0</v>
      </c>
      <c r="C70" s="14">
        <v>2694.71</v>
      </c>
      <c r="D70" s="14">
        <v>835.52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</row>
    <row r="71" spans="1:17" ht="10.9" customHeight="1" x14ac:dyDescent="0.2">
      <c r="A71" s="13" t="s">
        <v>80</v>
      </c>
      <c r="B71" s="14">
        <v>0</v>
      </c>
      <c r="C71" s="14">
        <v>0</v>
      </c>
      <c r="D71" s="14">
        <v>11.82</v>
      </c>
      <c r="E71" s="14">
        <v>15.46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639.54999999999995</v>
      </c>
      <c r="L71" s="14">
        <v>58.73</v>
      </c>
      <c r="M71" s="14">
        <v>140.09</v>
      </c>
      <c r="N71" s="14">
        <v>60.55</v>
      </c>
      <c r="O71" s="14">
        <v>209.54</v>
      </c>
      <c r="P71" s="14">
        <v>103.91</v>
      </c>
      <c r="Q71" s="14">
        <v>62.73</v>
      </c>
    </row>
    <row r="72" spans="1:17" ht="10.9" customHeight="1" x14ac:dyDescent="0.2">
      <c r="A72" s="13" t="s">
        <v>81</v>
      </c>
      <c r="B72" s="14">
        <v>0</v>
      </c>
      <c r="C72" s="14">
        <v>1221.5899999999999</v>
      </c>
      <c r="D72" s="14">
        <v>1205.99</v>
      </c>
      <c r="E72" s="14">
        <v>0</v>
      </c>
      <c r="F72" s="14">
        <v>0</v>
      </c>
      <c r="G72" s="14">
        <v>0</v>
      </c>
      <c r="H72" s="14">
        <v>215.91</v>
      </c>
      <c r="I72" s="14">
        <v>1535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</row>
    <row r="73" spans="1:17" ht="10.9" customHeight="1" x14ac:dyDescent="0.2">
      <c r="A73" s="13" t="s">
        <v>82</v>
      </c>
      <c r="B73" s="14">
        <v>0</v>
      </c>
      <c r="C73" s="14">
        <v>0</v>
      </c>
      <c r="D73" s="14">
        <v>0</v>
      </c>
      <c r="E73" s="14">
        <v>0</v>
      </c>
      <c r="F73" s="14">
        <v>182.74</v>
      </c>
      <c r="G73" s="14">
        <v>1536.28</v>
      </c>
      <c r="H73" s="14">
        <v>0</v>
      </c>
      <c r="I73" s="14">
        <v>104.7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</row>
    <row r="74" spans="1:17" ht="10.9" customHeight="1" x14ac:dyDescent="0.2">
      <c r="A74" s="13" t="s">
        <v>83</v>
      </c>
      <c r="B74" s="14">
        <v>1982.89</v>
      </c>
      <c r="C74" s="14">
        <v>1910.26</v>
      </c>
      <c r="D74" s="14">
        <v>1349.77</v>
      </c>
      <c r="E74" s="14">
        <v>1039.6300000000001</v>
      </c>
      <c r="F74" s="14">
        <v>1167.99</v>
      </c>
      <c r="G74" s="14">
        <v>1791.96</v>
      </c>
      <c r="H74" s="14">
        <v>1462.3</v>
      </c>
      <c r="I74" s="14">
        <v>1662.91</v>
      </c>
      <c r="J74" s="14">
        <v>353.08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</row>
    <row r="75" spans="1:17" ht="10.9" customHeight="1" x14ac:dyDescent="0.2">
      <c r="A75" s="13" t="s">
        <v>84</v>
      </c>
      <c r="B75" s="14">
        <v>9679.42</v>
      </c>
      <c r="C75" s="14">
        <v>8465.2900000000009</v>
      </c>
      <c r="D75" s="14">
        <v>7877.51</v>
      </c>
      <c r="E75" s="14">
        <v>7187.51</v>
      </c>
      <c r="F75" s="14">
        <v>7187.51</v>
      </c>
      <c r="G75" s="14">
        <v>11000</v>
      </c>
      <c r="H75" s="14">
        <v>13521.96</v>
      </c>
      <c r="I75" s="14">
        <v>4445.83</v>
      </c>
      <c r="J75" s="14">
        <v>246.46</v>
      </c>
      <c r="K75" s="14">
        <v>10529.64</v>
      </c>
      <c r="L75" s="14">
        <v>5062.49</v>
      </c>
      <c r="M75" s="14">
        <v>5501.71</v>
      </c>
      <c r="N75" s="14">
        <v>5445</v>
      </c>
      <c r="O75" s="14">
        <v>5422.08</v>
      </c>
      <c r="P75" s="14">
        <v>5701.95</v>
      </c>
      <c r="Q75" s="14">
        <v>5999.58</v>
      </c>
    </row>
    <row r="76" spans="1:17" ht="10.9" customHeight="1" x14ac:dyDescent="0.2">
      <c r="A76" s="13" t="s">
        <v>85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448.63</v>
      </c>
      <c r="L76" s="14">
        <v>446.16</v>
      </c>
      <c r="M76" s="14">
        <v>2382.37</v>
      </c>
      <c r="N76" s="14">
        <v>513.51</v>
      </c>
      <c r="O76" s="14">
        <v>509.22</v>
      </c>
      <c r="P76" s="14">
        <v>459.32</v>
      </c>
      <c r="Q76" s="14">
        <v>567.45000000000005</v>
      </c>
    </row>
    <row r="77" spans="1:17" ht="10.9" customHeight="1" x14ac:dyDescent="0.2">
      <c r="A77" s="13" t="s">
        <v>86</v>
      </c>
      <c r="B77" s="14">
        <v>226.71</v>
      </c>
      <c r="C77" s="14">
        <v>224.83</v>
      </c>
      <c r="D77" s="14">
        <v>134.91999999999999</v>
      </c>
      <c r="E77" s="14">
        <v>323.14</v>
      </c>
      <c r="F77" s="14">
        <v>142.18</v>
      </c>
      <c r="G77" s="14">
        <v>77.3</v>
      </c>
      <c r="H77" s="14">
        <v>381.82</v>
      </c>
      <c r="I77" s="14">
        <v>352.66</v>
      </c>
      <c r="J77" s="14">
        <v>81.819999999999993</v>
      </c>
      <c r="K77" s="14">
        <v>100.46</v>
      </c>
      <c r="L77" s="14">
        <v>100.46</v>
      </c>
      <c r="M77" s="14">
        <v>100.46</v>
      </c>
      <c r="N77" s="14">
        <v>100.46</v>
      </c>
      <c r="O77" s="14">
        <v>368.58</v>
      </c>
      <c r="P77" s="14">
        <v>100.46</v>
      </c>
      <c r="Q77" s="14">
        <v>119.32</v>
      </c>
    </row>
    <row r="78" spans="1:17" ht="10.9" customHeight="1" x14ac:dyDescent="0.2">
      <c r="A78" s="13" t="s">
        <v>87</v>
      </c>
      <c r="B78" s="14">
        <v>84168.8</v>
      </c>
      <c r="C78" s="14">
        <v>73611.11</v>
      </c>
      <c r="D78" s="14">
        <v>68499.990000000005</v>
      </c>
      <c r="E78" s="14">
        <v>62499.99</v>
      </c>
      <c r="F78" s="14">
        <v>62499.99</v>
      </c>
      <c r="G78" s="14">
        <v>100000</v>
      </c>
      <c r="H78" s="14">
        <v>122927.07</v>
      </c>
      <c r="I78" s="14">
        <v>40416.67</v>
      </c>
      <c r="J78" s="14">
        <v>21343.63</v>
      </c>
      <c r="K78" s="14">
        <v>112206.91</v>
      </c>
      <c r="L78" s="14">
        <v>46022.61</v>
      </c>
      <c r="M78" s="14">
        <v>50015.56</v>
      </c>
      <c r="N78" s="14">
        <v>49499.96</v>
      </c>
      <c r="O78" s="14">
        <v>49291.62</v>
      </c>
      <c r="P78" s="14">
        <v>51835.86</v>
      </c>
      <c r="Q78" s="14">
        <v>54541.63</v>
      </c>
    </row>
    <row r="79" spans="1:17" ht="10.9" customHeight="1" x14ac:dyDescent="0.2">
      <c r="A79" s="11" t="s">
        <v>88</v>
      </c>
      <c r="B79" s="12">
        <f t="shared" ref="B79:Q79" si="4">SUM(B46:B78)</f>
        <v>139653.99</v>
      </c>
      <c r="C79" s="12">
        <f t="shared" si="4"/>
        <v>155829.88</v>
      </c>
      <c r="D79" s="12">
        <f t="shared" si="4"/>
        <v>131354.47</v>
      </c>
      <c r="E79" s="12">
        <f t="shared" si="4"/>
        <v>114269.04</v>
      </c>
      <c r="F79" s="12">
        <f t="shared" si="4"/>
        <v>110620.66</v>
      </c>
      <c r="G79" s="12">
        <f t="shared" si="4"/>
        <v>215740.52000000002</v>
      </c>
      <c r="H79" s="12">
        <f t="shared" si="4"/>
        <v>232606.07</v>
      </c>
      <c r="I79" s="12">
        <f t="shared" si="4"/>
        <v>89763.890000000014</v>
      </c>
      <c r="J79" s="12">
        <f t="shared" si="4"/>
        <v>412460.35000000003</v>
      </c>
      <c r="K79" s="12">
        <f t="shared" si="4"/>
        <v>3587134.1200000006</v>
      </c>
      <c r="L79" s="12">
        <f t="shared" si="4"/>
        <v>69554.490000000005</v>
      </c>
      <c r="M79" s="12">
        <f t="shared" si="4"/>
        <v>82690.81</v>
      </c>
      <c r="N79" s="12">
        <f t="shared" si="4"/>
        <v>75508.41</v>
      </c>
      <c r="O79" s="12">
        <f t="shared" si="4"/>
        <v>82309.330000000016</v>
      </c>
      <c r="P79" s="12">
        <f t="shared" si="4"/>
        <v>65520.479999999996</v>
      </c>
      <c r="Q79" s="12">
        <f t="shared" si="4"/>
        <v>79397.25</v>
      </c>
    </row>
    <row r="80" spans="1:17" ht="13.35" customHeight="1" x14ac:dyDescent="0.2"/>
    <row r="81" spans="1:17" ht="10.9" customHeight="1" x14ac:dyDescent="0.2">
      <c r="A81" s="15" t="s">
        <v>89</v>
      </c>
      <c r="B81" s="16">
        <f t="shared" ref="B81:Q81" si="5">((B38 + B43) - B79)</f>
        <v>91429.510000000009</v>
      </c>
      <c r="C81" s="16">
        <f t="shared" si="5"/>
        <v>124519.98000000004</v>
      </c>
      <c r="D81" s="16">
        <f t="shared" si="5"/>
        <v>178217.68000000002</v>
      </c>
      <c r="E81" s="16">
        <f t="shared" si="5"/>
        <v>156310.18</v>
      </c>
      <c r="F81" s="16">
        <f t="shared" si="5"/>
        <v>-53659.659999999989</v>
      </c>
      <c r="G81" s="16">
        <f t="shared" si="5"/>
        <v>11781.379999999946</v>
      </c>
      <c r="H81" s="16">
        <f t="shared" si="5"/>
        <v>151183.28000000003</v>
      </c>
      <c r="I81" s="16">
        <f t="shared" si="5"/>
        <v>-79188.290000000008</v>
      </c>
      <c r="J81" s="16">
        <f t="shared" si="5"/>
        <v>-355543.60000000003</v>
      </c>
      <c r="K81" s="16">
        <f t="shared" si="5"/>
        <v>-3456366.0300000007</v>
      </c>
      <c r="L81" s="16">
        <f t="shared" si="5"/>
        <v>7676.1000000000058</v>
      </c>
      <c r="M81" s="16">
        <f t="shared" si="5"/>
        <v>-90605.87</v>
      </c>
      <c r="N81" s="16">
        <f t="shared" si="5"/>
        <v>231213.73</v>
      </c>
      <c r="O81" s="16">
        <f t="shared" si="5"/>
        <v>390617.08</v>
      </c>
      <c r="P81" s="16">
        <f t="shared" si="5"/>
        <v>81905.730000000025</v>
      </c>
      <c r="Q81" s="16">
        <f t="shared" si="5"/>
        <v>348478.82999999996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Raveena Thakur</cp:lastModifiedBy>
  <dcterms:created xsi:type="dcterms:W3CDTF">2025-04-16T11:48:04Z</dcterms:created>
  <dcterms:modified xsi:type="dcterms:W3CDTF">2025-04-16T11:48:04Z</dcterms:modified>
</cp:coreProperties>
</file>