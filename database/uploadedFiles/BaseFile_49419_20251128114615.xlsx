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73D30E5-565C-4DAF-BC11-B84880FC6FA1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inanci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<sst xmlns="http://schemas.openxmlformats.org/spreadsheetml/2006/main" count="120" uniqueCount="87">
  <si>
    <t>Company Name:</t>
  </si>
  <si>
    <t>Portal West Coffee LLC</t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</si>
  <si>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</si>
  <si>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</si>
  <si>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</si>
  <si>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</si>
  <si>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</si>
  <si>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</si>
  <si>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</si>
  <si>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</si>
  <si>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</si>
  <si>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</si>
  <si>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</si>
  <si>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</si>
  <si>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</si>
  <si>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Sales of Product Income</t>
  </si>
  <si>
    <t>Cost of Sales</t>
  </si>
  <si>
    <t xml:space="preserve"> </t>
  </si>
  <si>
    <t>VCOS</t>
  </si>
  <si>
    <t>Baked Goods - COGS</t>
  </si>
  <si>
    <t>Coffee - COGs</t>
  </si>
  <si>
    <t>Cost of Goods Sold</t>
  </si>
  <si>
    <t>Milk Products - COGs</t>
  </si>
  <si>
    <t>Other Ingredients - COGS</t>
  </si>
  <si>
    <t>Supplies &amp; Materials</t>
  </si>
  <si>
    <t>Tea - COGs</t>
  </si>
  <si>
    <t>Expenses</t>
  </si>
  <si>
    <t>FEXP</t>
  </si>
  <si>
    <t>Advertisement &amp; Marketing</t>
  </si>
  <si>
    <t>Bank Charges</t>
  </si>
  <si>
    <t>Dues &amp; subscriptions</t>
  </si>
  <si>
    <t>Gas &amp; Parking - Auto</t>
  </si>
  <si>
    <t>General Liability Insurance</t>
  </si>
  <si>
    <t>Internet / Phone</t>
  </si>
  <si>
    <t>Legal &amp; Professional Fees</t>
  </si>
  <si>
    <t>Meals &amp; Entertainment</t>
  </si>
  <si>
    <t>Office/General Administrative Expenses</t>
  </si>
  <si>
    <t>Bonus</t>
  </si>
  <si>
    <t>Employer Payroll Taxes</t>
  </si>
  <si>
    <t>Payroll Wage Expenses</t>
  </si>
  <si>
    <t>Payroll Processing Fees</t>
  </si>
  <si>
    <t>POS Fees</t>
  </si>
  <si>
    <t>Rent or Lease</t>
  </si>
  <si>
    <t>Repair &amp; Maintenance</t>
  </si>
  <si>
    <t>Shipping, Freight &amp; Delivery</t>
  </si>
  <si>
    <t>Small Equipment Expense</t>
  </si>
  <si>
    <t>Utilities</t>
  </si>
  <si>
    <t>Other Income</t>
  </si>
  <si>
    <t>AINC</t>
  </si>
  <si>
    <t>Miscellaneous Income</t>
  </si>
  <si>
    <t>Other Expenses</t>
  </si>
  <si>
    <t>DA</t>
  </si>
  <si>
    <t>Depreciation</t>
  </si>
  <si>
    <t>IINC</t>
  </si>
  <si>
    <t>Interest Earned</t>
  </si>
  <si>
    <t>Current Assets</t>
  </si>
  <si>
    <t>CASH</t>
  </si>
  <si>
    <t>Bank Account</t>
  </si>
  <si>
    <t>OCA</t>
  </si>
  <si>
    <t>Loans to Others</t>
  </si>
  <si>
    <t>Non-Current Assets</t>
  </si>
  <si>
    <t>FA</t>
  </si>
  <si>
    <t>Accumulated Depreciation_Equipment</t>
  </si>
  <si>
    <t>Accumulated Depreciation_Vehicle</t>
  </si>
  <si>
    <t>Machinery &amp; Equipment</t>
  </si>
  <si>
    <t>Vehicle Car</t>
  </si>
  <si>
    <t>Current Liabilities</t>
  </si>
  <si>
    <t>OCL</t>
  </si>
  <si>
    <t>Credit Cards</t>
  </si>
  <si>
    <t>Gift Card Liability</t>
  </si>
  <si>
    <t>Payroll Clearing</t>
  </si>
  <si>
    <t>Non-Current Liabilities</t>
  </si>
  <si>
    <t>Equity</t>
  </si>
  <si>
    <t>OEQ</t>
  </si>
  <si>
    <t>Opening Balance Equity</t>
  </si>
  <si>
    <t>Personal Expense / Owner's Draw</t>
  </si>
  <si>
    <t>RE</t>
  </si>
  <si>
    <t>Retained Earnings</t>
  </si>
  <si>
    <t>CE</t>
  </si>
  <si>
    <t>Net Income</t>
  </si>
  <si>
    <t>Aug 2025</t>
  </si>
  <si>
    <t>Sep 2025</t>
  </si>
  <si>
    <t>US Treasury Taxes</t>
  </si>
  <si>
    <t>TEXP</t>
  </si>
  <si>
    <t>Oct 2025</t>
  </si>
  <si>
    <t>State Unemployment Insurance Tax</t>
  </si>
  <si>
    <t>Sales Tax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</si>
</sst>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&quot;($&quot;#,##0\)"/>
  </numFmts>
  <fonts count="5" x14ac:knownFonts="1">
    <font>
      <sz val="11"/>
      <name val="Calibri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164" fontId="1" fillId="0" borderId="0">
      <alignment horizontal="right"/>
    </xf>
    <xf numFmtId="164" fontId="2" fillId="0" borderId="1">
      <alignment horizontal="right"/>
    </xf>
    <xf numFmtId="0" fontId="1" fillId="2" borderId="0">
      <alignment horizontal="right"/>
    </xf>
    <xf numFmtId="0" fontId="2" fillId="2" borderId="1">
      <alignment horizontal="left"/>
    </xf>
    <xf numFmtId="0" fontId="2" fillId="2" borderId="1">
      <alignment horizontal="right" wrapText="1"/>
    </xf>
    <xf numFmtId="0" fontId="2" fillId="2" borderId="0">
      <alignment horizontal="right"/>
    </xf>
    <xf numFmtId="0" fontId="1" fillId="3" borderId="0">
      <alignment horizontal="left"/>
    </xf>
    <xf numFmtId="0" fontId="2" fillId="3" borderId="1">
      <alignment horizontal="left"/>
    </xf>
    <xf numFmtId="0" fontId="1" fillId="0" borderId="0"/>
  </cellStyleXfs>
  <cellXfs count="18">
    <xf numFmtId="0" fontId="0" fillId="0" borderId="0" xfId="0"/>
    <xf numFmtId="0" fontId="1" fillId="2" borderId="0" xfId="3">
      <alignment horizontal="right"/>
    </xf>
    <xf numFmtId="0" fontId="3" fillId="2" borderId="0" xfId="0" applyFont="1" applyFill="1" applyAlignment="1">
      <alignment horizontal="left"/>
    </xf>
    <xf numFmtId="0" fontId="0" fillId="2" borderId="0" xfId="0" applyFill="1"/>
    <xf numFmtId="0" fontId="2" fillId="2" borderId="1" xfId="4">
      <alignment horizontal="left"/>
    </xf>
    <xf numFmtId="0" fontId="2" fillId="2" borderId="1" xfId="5">
      <alignment horizontal="right" wrapText="1"/>
    </xf>
    <xf numFmtId="49" fontId="2" fillId="2" borderId="1" xfId="5" applyNumberFormat="1">
      <alignment horizontal="right" wrapText="1"/>
    </xf>
    <xf numFmtId="0" fontId="2" fillId="3" borderId="1" xfId="8">
      <alignment horizontal="left"/>
    </xf>
    <xf numFmtId="164" fontId="2" fillId="0" borderId="1" xfId="2">
      <alignment horizontal="right"/>
    </xf>
    <xf numFmtId="0" fontId="1" fillId="3" borderId="0" xfId="7">
      <alignment horizontal="left"/>
    </xf>
    <xf numFmtId="164" fontId="1" fillId="0" borderId="0" xfId="1">
      <alignment horizontal="right"/>
    </xf>
    <xf numFmtId="0" fontId="4" fillId="0" borderId="0" xfId="0" applyFont="1"/>
    <xf numFmtId="0" fontId="1" fillId="3" borderId="0" xfId="8" applyFont="1" applyBorder="1">
      <alignment horizontal="left"/>
    </xf>
    <xf numFmtId="164" fontId="1" fillId="0" borderId="0" xfId="2" applyFont="1" applyBorder="1">
      <alignment horizontal="right"/>
    </xf>
    <xf numFmtId="0" fontId="1" fillId="3" borderId="1" xfId="8" applyFont="1">
      <alignment horizontal="left"/>
    </xf>
    <xf numFmtId="164" fontId="0" fillId="0" borderId="0" xfId="0" applyNumberFormat="1"/>
    <xf numFmtId="164" fontId="1" fillId="0" borderId="2" xfId="1" applyBorder="1">
      <alignment horizontal="right"/>
    </xf>
    <xf numFmtId="0" fontId="1" fillId="2" borderId="0" xfId="3" applyAlignment="1">
      <alignment horizontal="left"/>
    </xf>
  </cellXfs>
  <cellStyles count="10">
    <cellStyle name="$@:0x000000::false:right:false:0:false0" xfId="1" xr:uid="{00000000-0005-0000-0000-000006000000}"/>
    <cellStyle name="$@:0x000000::true:right:false:0:false0" xfId="2" xr:uid="{00000000-0005-0000-0000-000007000000}"/>
    <cellStyle name="::#dce6f2:false:right:false:0:false0" xfId="3" xr:uid="{00000000-0005-0000-0000-000008000000}"/>
    <cellStyle name="::#dce6f2:true:left:false:0:false0" xfId="4" xr:uid="{00000000-0005-0000-0000-000009000000}"/>
    <cellStyle name="::#dce6f2:true:right:false:0:true0" xfId="5" xr:uid="{00000000-0005-0000-0000-00000A000000}"/>
    <cellStyle name="::#dce6f2:true:right:true:0:false0" xfId="6" xr:uid="{00000000-0005-0000-0000-00000B000000}"/>
    <cellStyle name="::#ebf1de:false:left:false:0:false0" xfId="7" xr:uid="{00000000-0005-0000-0000-00000C000000}"/>
    <cellStyle name="::#ebf1de:true:left:false:0:false0" xfId="8" xr:uid="{00000000-0005-0000-0000-00000D000000}"/>
    <cellStyle name="Normal" xfId="0" builtinId="0"/>
    <cellStyle name="Normal 2" xfId="9" xr:uid="{00000000-0005-0000-0000-00000E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zoomScale="79" zoomScaleNormal="100" workbookViewId="0">
      <pane xSplit="2" ySplit="5" topLeftCell="F6" activePane="bottomRight" state="frozen"/>
      <selection pane="topRight" activeCell="C1" sqref="C1"/>
      <selection pane="bottomLeft" activeCell="A6" sqref="A6"/>
      <selection pane="bottomRight" activeCell="L5" sqref="L5"/>
    </sheetView>
  </sheetViews>
  <sheetFormatPr defaultColWidth="8.6328125" defaultRowHeight="14.5" x14ac:dyDescent="0.35"/>
  <cols>
    <col min="1" max="1" width="18.08984375" customWidth="1"/>
    <col min="2" max="2" width="53.81640625" customWidth="1"/>
    <col min="3" max="9" width="18.08984375" customWidth="1"/>
    <col min="10" max="12" width="9.90625" bestFit="1" customWidth="1"/>
  </cols>
  <sheetData>
    <row r="1" spans="1:12" s="3" customFormat="1" x14ac:dyDescent="0.35">
      <c r="A1" s="17" t="s">
        <v>0</v>
      </c>
      <c r="B1" s="2" t="s">
        <v>1</v>
      </c>
    </row>
    <row r="2" spans="1:12" s="3" customFormat="1" x14ac:dyDescent="0.35">
      <c r="A2" s="17" t="s">
        <v>2</v>
      </c>
      <c r="B2" s="2" t="s">
        <v>3</v>
      </c>
    </row>
    <row r="3" spans="1:12" s="3" customFormat="1" x14ac:dyDescent="0.35">
      <c r="A3" s="1"/>
      <c r="B3" s="2"/>
    </row>
    <row r="4" spans="1:12" s="3" customFormat="1" x14ac:dyDescent="0.35"/>
    <row r="5" spans="1:12" s="3" customFormat="1" x14ac:dyDescent="0.35">
      <c r="A5" s="4" t="s">
        <v>4</v>
      </c>
      <c r="B5" s="4" t="s">
        <v>5</v>
      </c>
      <c r="C5" s="5" t="s">
        <v>6</v>
      </c>
      <c r="D5" s="5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80</v>
      </c>
      <c r="K5" s="6" t="s">
        <v>81</v>
      </c>
      <c r="L5" s="6" t="s">
        <v>84</v>
      </c>
    </row>
    <row r="6" spans="1:12" x14ac:dyDescent="0.35">
      <c r="A6" s="7"/>
      <c r="B6" s="7" t="s">
        <v>13</v>
      </c>
      <c r="C6" s="8"/>
      <c r="D6" s="8"/>
      <c r="E6" s="8"/>
      <c r="F6" s="8"/>
      <c r="G6" s="8"/>
      <c r="H6" s="8"/>
      <c r="I6" s="8"/>
    </row>
    <row r="7" spans="1:12" x14ac:dyDescent="0.35">
      <c r="A7" s="9" t="s">
        <v>14</v>
      </c>
      <c r="B7" s="9" t="s">
        <v>15</v>
      </c>
      <c r="C7" s="10">
        <v>53009.760000000002</v>
      </c>
      <c r="D7" s="10">
        <v>50086.33</v>
      </c>
      <c r="E7" s="10">
        <v>64929.98</v>
      </c>
      <c r="F7" s="10">
        <v>61357.01</v>
      </c>
      <c r="G7" s="10">
        <v>63878.400000000001</v>
      </c>
      <c r="H7" s="10">
        <v>47909.53</v>
      </c>
      <c r="I7" s="10">
        <v>49790.11</v>
      </c>
      <c r="J7" s="16">
        <v>50746.33</v>
      </c>
      <c r="K7" s="16">
        <v>58990.38</v>
      </c>
      <c r="L7" s="16">
        <v>58004.02</v>
      </c>
    </row>
    <row r="8" spans="1:12" x14ac:dyDescent="0.35">
      <c r="A8" s="7"/>
      <c r="B8" s="7" t="s">
        <v>16</v>
      </c>
      <c r="C8" s="8"/>
      <c r="D8" s="8"/>
      <c r="E8" s="8"/>
      <c r="F8" s="8"/>
      <c r="G8" s="8"/>
      <c r="H8" s="8"/>
      <c r="I8" s="8"/>
      <c r="J8" s="8" t="s">
        <v>17</v>
      </c>
      <c r="K8" s="8"/>
      <c r="L8" s="8"/>
    </row>
    <row r="9" spans="1:12" x14ac:dyDescent="0.35">
      <c r="A9" s="9" t="s">
        <v>18</v>
      </c>
      <c r="B9" s="9" t="s">
        <v>19</v>
      </c>
      <c r="C9" s="10">
        <v>6243</v>
      </c>
      <c r="D9" s="10">
        <v>6335.69</v>
      </c>
      <c r="E9" s="10">
        <v>5030.25</v>
      </c>
      <c r="F9" s="10">
        <v>10008.68</v>
      </c>
      <c r="G9" s="10">
        <v>6381.65</v>
      </c>
      <c r="H9" s="10">
        <v>4975.25</v>
      </c>
      <c r="I9" s="10">
        <v>5742.53</v>
      </c>
      <c r="J9" s="10">
        <v>7078.1</v>
      </c>
      <c r="K9" s="10">
        <v>8460.0300000000007</v>
      </c>
      <c r="L9" s="10">
        <v>6225.8</v>
      </c>
    </row>
    <row r="10" spans="1:12" x14ac:dyDescent="0.35">
      <c r="A10" s="9" t="s">
        <v>18</v>
      </c>
      <c r="B10" s="9" t="s">
        <v>20</v>
      </c>
      <c r="C10" s="10">
        <v>355.39</v>
      </c>
      <c r="D10" s="10">
        <v>10413.32</v>
      </c>
      <c r="E10" s="10"/>
      <c r="F10" s="10">
        <v>10949.47</v>
      </c>
      <c r="G10" s="10"/>
      <c r="H10" s="10"/>
      <c r="I10" s="10">
        <v>9519.11</v>
      </c>
      <c r="J10" s="10">
        <v>10947.72</v>
      </c>
      <c r="K10" s="10"/>
      <c r="L10" s="10"/>
    </row>
    <row r="11" spans="1:12" x14ac:dyDescent="0.35">
      <c r="A11" s="9" t="s">
        <v>18</v>
      </c>
      <c r="B11" s="9" t="s">
        <v>21</v>
      </c>
      <c r="C11" s="10">
        <v>585.20000000000005</v>
      </c>
      <c r="D11" s="10">
        <v>671.24</v>
      </c>
      <c r="E11" s="10">
        <v>254.28</v>
      </c>
      <c r="F11" s="10"/>
      <c r="G11" s="10">
        <v>368.98</v>
      </c>
      <c r="H11" s="10"/>
      <c r="I11" s="10">
        <v>462</v>
      </c>
      <c r="J11" s="10">
        <v>348.52</v>
      </c>
      <c r="K11" s="10">
        <v>851.04</v>
      </c>
      <c r="L11" s="10">
        <v>396.09</v>
      </c>
    </row>
    <row r="12" spans="1:12" x14ac:dyDescent="0.35">
      <c r="A12" s="9" t="s">
        <v>18</v>
      </c>
      <c r="B12" s="9" t="s">
        <v>22</v>
      </c>
      <c r="C12" s="10">
        <v>1315.8</v>
      </c>
      <c r="D12" s="10">
        <v>1020.5</v>
      </c>
      <c r="E12" s="10">
        <v>3921</v>
      </c>
      <c r="F12" s="10">
        <v>1133.3900000000001</v>
      </c>
      <c r="G12" s="10">
        <v>1059.5999999999999</v>
      </c>
      <c r="H12" s="10">
        <v>1122.8</v>
      </c>
      <c r="I12" s="10">
        <v>6351.88</v>
      </c>
      <c r="J12" s="10">
        <v>902.4</v>
      </c>
      <c r="K12" s="10">
        <v>1158.5</v>
      </c>
      <c r="L12" s="10">
        <v>1154.7</v>
      </c>
    </row>
    <row r="13" spans="1:12" x14ac:dyDescent="0.35">
      <c r="A13" s="9" t="s">
        <v>18</v>
      </c>
      <c r="B13" s="9" t="s">
        <v>23</v>
      </c>
      <c r="C13" s="10">
        <v>6894.81</v>
      </c>
      <c r="D13" s="10">
        <v>1580.36</v>
      </c>
      <c r="E13" s="10">
        <v>2402.6799999999998</v>
      </c>
      <c r="F13" s="10">
        <v>2904.05</v>
      </c>
      <c r="G13" s="10">
        <v>1529.7</v>
      </c>
      <c r="H13" s="10">
        <v>1962.62</v>
      </c>
      <c r="I13" s="10">
        <v>2576.44</v>
      </c>
      <c r="J13" s="10">
        <v>747.33</v>
      </c>
      <c r="K13" s="10">
        <v>2114.58</v>
      </c>
      <c r="L13" s="10">
        <v>1412.85</v>
      </c>
    </row>
    <row r="14" spans="1:12" x14ac:dyDescent="0.35">
      <c r="A14" s="9" t="s">
        <v>18</v>
      </c>
      <c r="B14" s="9" t="s">
        <v>24</v>
      </c>
      <c r="C14" s="10">
        <v>2215.5100000000002</v>
      </c>
      <c r="D14" s="10">
        <v>2740.46</v>
      </c>
      <c r="E14" s="10">
        <v>1215.79</v>
      </c>
      <c r="F14" s="10">
        <v>2633.58</v>
      </c>
      <c r="G14" s="10">
        <v>1975.16</v>
      </c>
      <c r="H14" s="10">
        <v>1725.41</v>
      </c>
      <c r="I14" s="10">
        <v>1640.87</v>
      </c>
      <c r="J14" s="10">
        <v>844.68</v>
      </c>
      <c r="K14" s="10">
        <v>1733.22</v>
      </c>
      <c r="L14" s="10">
        <v>1393.37</v>
      </c>
    </row>
    <row r="15" spans="1:12" x14ac:dyDescent="0.35">
      <c r="A15" s="9" t="s">
        <v>18</v>
      </c>
      <c r="B15" s="9" t="s">
        <v>25</v>
      </c>
      <c r="C15" s="10">
        <v>540</v>
      </c>
      <c r="D15" s="10">
        <v>2035</v>
      </c>
      <c r="E15" s="10">
        <v>3139</v>
      </c>
      <c r="F15" s="10">
        <v>963.36</v>
      </c>
      <c r="G15" s="10">
        <v>1802</v>
      </c>
      <c r="H15" s="10">
        <v>540</v>
      </c>
      <c r="I15" s="10">
        <v>1225</v>
      </c>
      <c r="J15" s="10">
        <v>1314.72</v>
      </c>
      <c r="K15" s="10">
        <v>1653</v>
      </c>
      <c r="L15" s="10">
        <v>594.72</v>
      </c>
    </row>
    <row r="16" spans="1:12" x14ac:dyDescent="0.35">
      <c r="A16" s="7" t="s">
        <v>17</v>
      </c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x14ac:dyDescent="0.35">
      <c r="A17" s="9" t="s">
        <v>27</v>
      </c>
      <c r="B17" s="9" t="s">
        <v>28</v>
      </c>
      <c r="C17" s="10"/>
      <c r="D17" s="10">
        <v>1819.5</v>
      </c>
      <c r="E17" s="10"/>
      <c r="F17" s="10"/>
      <c r="G17" s="10"/>
      <c r="H17" s="10"/>
      <c r="I17" s="10"/>
      <c r="J17" s="10"/>
      <c r="K17" s="10">
        <v>1047.07</v>
      </c>
      <c r="L17" s="10"/>
    </row>
    <row r="18" spans="1:12" x14ac:dyDescent="0.35">
      <c r="A18" s="9" t="s">
        <v>27</v>
      </c>
      <c r="B18" s="9" t="s">
        <v>29</v>
      </c>
      <c r="C18" s="10"/>
      <c r="D18" s="10"/>
      <c r="E18" s="10"/>
      <c r="F18" s="10">
        <v>0</v>
      </c>
      <c r="G18" s="10"/>
      <c r="H18" s="10"/>
      <c r="I18" s="10">
        <v>0.5</v>
      </c>
      <c r="J18" s="10">
        <v>1.4</v>
      </c>
      <c r="K18" s="10"/>
      <c r="L18" s="10">
        <v>40</v>
      </c>
    </row>
    <row r="19" spans="1:12" x14ac:dyDescent="0.35">
      <c r="A19" s="9" t="s">
        <v>27</v>
      </c>
      <c r="B19" s="9" t="s">
        <v>30</v>
      </c>
      <c r="C19" s="10">
        <v>133.65</v>
      </c>
      <c r="D19" s="10">
        <v>100.12</v>
      </c>
      <c r="E19" s="10">
        <v>100.12</v>
      </c>
      <c r="F19" s="10">
        <v>378.99</v>
      </c>
      <c r="G19" s="10">
        <v>220</v>
      </c>
      <c r="H19" s="10">
        <v>115.05</v>
      </c>
      <c r="I19" s="10">
        <v>93.71</v>
      </c>
      <c r="J19" s="10">
        <v>87.31</v>
      </c>
      <c r="K19" s="10">
        <v>106.52</v>
      </c>
      <c r="L19" s="10">
        <v>407.44</v>
      </c>
    </row>
    <row r="20" spans="1:12" x14ac:dyDescent="0.35">
      <c r="A20" s="9" t="s">
        <v>27</v>
      </c>
      <c r="B20" s="9" t="s">
        <v>31</v>
      </c>
      <c r="C20" s="10">
        <v>49.54</v>
      </c>
      <c r="D20" s="10"/>
      <c r="E20" s="10">
        <v>198.08</v>
      </c>
      <c r="F20" s="10">
        <v>165.76</v>
      </c>
      <c r="G20" s="10">
        <v>12.17</v>
      </c>
      <c r="H20" s="10"/>
      <c r="I20" s="10">
        <v>358.95</v>
      </c>
      <c r="J20" s="10">
        <v>46.81</v>
      </c>
      <c r="K20" s="10">
        <v>75.58</v>
      </c>
      <c r="L20" s="10">
        <v>164.29</v>
      </c>
    </row>
    <row r="21" spans="1:12" x14ac:dyDescent="0.35">
      <c r="A21" s="9" t="s">
        <v>27</v>
      </c>
      <c r="B21" s="9" t="s">
        <v>32</v>
      </c>
      <c r="C21" s="10">
        <v>33.24</v>
      </c>
      <c r="D21" s="10">
        <v>33.24</v>
      </c>
      <c r="E21" s="10">
        <v>33.24</v>
      </c>
      <c r="F21" s="10">
        <v>33.24</v>
      </c>
      <c r="G21" s="10">
        <v>33.24</v>
      </c>
      <c r="H21" s="10">
        <v>33.24</v>
      </c>
      <c r="I21" s="10">
        <v>33.24</v>
      </c>
      <c r="J21" s="10">
        <v>33.24</v>
      </c>
      <c r="K21" s="10">
        <v>33.24</v>
      </c>
      <c r="L21" s="10">
        <v>33.24</v>
      </c>
    </row>
    <row r="22" spans="1:12" x14ac:dyDescent="0.35">
      <c r="A22" s="9" t="s">
        <v>27</v>
      </c>
      <c r="B22" s="9" t="s">
        <v>33</v>
      </c>
      <c r="C22" s="10">
        <v>164.98</v>
      </c>
      <c r="D22" s="10">
        <v>164.98</v>
      </c>
      <c r="E22" s="10">
        <v>164.98</v>
      </c>
      <c r="F22" s="10">
        <v>185</v>
      </c>
      <c r="G22" s="10">
        <v>185</v>
      </c>
      <c r="H22" s="10">
        <v>185</v>
      </c>
      <c r="I22" s="10">
        <v>185</v>
      </c>
      <c r="J22" s="10">
        <v>388.95</v>
      </c>
      <c r="K22" s="10"/>
      <c r="L22" s="10">
        <v>185</v>
      </c>
    </row>
    <row r="23" spans="1:12" x14ac:dyDescent="0.35">
      <c r="A23" s="9" t="s">
        <v>27</v>
      </c>
      <c r="B23" s="9" t="s">
        <v>34</v>
      </c>
      <c r="C23" s="10"/>
      <c r="D23" s="10">
        <v>2046</v>
      </c>
      <c r="E23" s="10">
        <v>1000</v>
      </c>
      <c r="F23" s="10"/>
      <c r="G23" s="10">
        <v>8960</v>
      </c>
      <c r="H23" s="10"/>
      <c r="I23" s="10">
        <v>4800</v>
      </c>
      <c r="J23" s="10">
        <v>6720</v>
      </c>
      <c r="K23" s="10">
        <v>4040</v>
      </c>
      <c r="L23" s="10">
        <v>6517.34</v>
      </c>
    </row>
    <row r="24" spans="1:12" x14ac:dyDescent="0.35">
      <c r="A24" s="9" t="s">
        <v>27</v>
      </c>
      <c r="B24" s="9" t="s">
        <v>35</v>
      </c>
      <c r="C24" s="10"/>
      <c r="D24" s="10">
        <v>93.51</v>
      </c>
      <c r="E24" s="10">
        <v>83.32</v>
      </c>
      <c r="F24" s="10">
        <v>91.44</v>
      </c>
      <c r="G24" s="10">
        <v>151.13999999999999</v>
      </c>
      <c r="H24" s="10">
        <v>243.89</v>
      </c>
      <c r="I24" s="10">
        <v>356.54</v>
      </c>
      <c r="J24" s="10">
        <v>259.88</v>
      </c>
      <c r="K24" s="10">
        <v>37.44</v>
      </c>
      <c r="L24" s="10">
        <v>89.08</v>
      </c>
    </row>
    <row r="25" spans="1:12" x14ac:dyDescent="0.35">
      <c r="A25" s="9" t="s">
        <v>27</v>
      </c>
      <c r="B25" s="9" t="s">
        <v>36</v>
      </c>
      <c r="C25" s="10">
        <v>35.97</v>
      </c>
      <c r="D25" s="10"/>
      <c r="E25" s="10"/>
      <c r="F25" s="10">
        <v>312.43</v>
      </c>
      <c r="G25" s="10">
        <v>16.059999999999999</v>
      </c>
      <c r="H25" s="10"/>
      <c r="I25" s="10"/>
      <c r="J25" s="10">
        <v>53.38</v>
      </c>
      <c r="K25" s="10"/>
      <c r="L25" s="10">
        <v>42.5</v>
      </c>
    </row>
    <row r="26" spans="1:12" x14ac:dyDescent="0.35">
      <c r="A26" s="9" t="s">
        <v>27</v>
      </c>
      <c r="B26" s="9" t="s">
        <v>37</v>
      </c>
      <c r="C26" s="10">
        <v>10530.26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9" t="s">
        <v>27</v>
      </c>
      <c r="B27" s="9" t="s">
        <v>38</v>
      </c>
      <c r="C27" s="10">
        <v>2465.98</v>
      </c>
      <c r="D27" s="10">
        <v>1279.5999999999999</v>
      </c>
      <c r="E27" s="10">
        <v>1239.53</v>
      </c>
      <c r="F27" s="10">
        <v>1150.1600000000001</v>
      </c>
      <c r="G27" s="10">
        <v>1122.8399999999999</v>
      </c>
      <c r="H27" s="10">
        <v>910.13</v>
      </c>
      <c r="I27" s="10">
        <v>824.04</v>
      </c>
      <c r="J27" s="10">
        <v>1493.38</v>
      </c>
      <c r="K27" s="10">
        <v>1138.78</v>
      </c>
      <c r="L27" s="10">
        <v>1153.47</v>
      </c>
    </row>
    <row r="28" spans="1:12" x14ac:dyDescent="0.35">
      <c r="A28" s="9" t="s">
        <v>27</v>
      </c>
      <c r="B28" s="9" t="s">
        <v>39</v>
      </c>
      <c r="C28" s="10">
        <v>12493.96</v>
      </c>
      <c r="D28" s="10">
        <v>12187.1</v>
      </c>
      <c r="E28" s="10">
        <v>12583.69</v>
      </c>
      <c r="F28" s="10">
        <v>12461.2</v>
      </c>
      <c r="G28" s="10">
        <v>12974.88</v>
      </c>
      <c r="H28" s="10">
        <v>11589.93</v>
      </c>
      <c r="I28" s="10">
        <v>9471.9599999999991</v>
      </c>
      <c r="J28" s="10">
        <v>16488.34</v>
      </c>
      <c r="K28" s="10">
        <v>11993.17</v>
      </c>
      <c r="L28" s="10">
        <v>12389.83</v>
      </c>
    </row>
    <row r="29" spans="1:12" x14ac:dyDescent="0.35">
      <c r="A29" s="9" t="s">
        <v>27</v>
      </c>
      <c r="B29" s="9" t="s">
        <v>40</v>
      </c>
      <c r="C29" s="10"/>
      <c r="D29" s="10"/>
      <c r="E29" s="10"/>
      <c r="F29" s="10">
        <v>114</v>
      </c>
      <c r="G29" s="10">
        <v>114</v>
      </c>
      <c r="H29" s="10"/>
      <c r="I29" s="10"/>
      <c r="J29" s="10"/>
      <c r="K29" s="10"/>
      <c r="L29" s="10"/>
    </row>
    <row r="30" spans="1:12" x14ac:dyDescent="0.35">
      <c r="A30" s="9" t="s">
        <v>27</v>
      </c>
      <c r="B30" s="9" t="s">
        <v>41</v>
      </c>
      <c r="C30" s="10">
        <v>550.03</v>
      </c>
      <c r="D30" s="10">
        <v>161.18</v>
      </c>
      <c r="E30" s="10">
        <v>199.99</v>
      </c>
      <c r="F30" s="10">
        <v>178.12</v>
      </c>
      <c r="G30" s="10">
        <v>149.08000000000001</v>
      </c>
      <c r="H30" s="10">
        <v>163.55000000000001</v>
      </c>
      <c r="I30" s="10">
        <v>114.82</v>
      </c>
      <c r="J30" s="10">
        <v>187.65</v>
      </c>
      <c r="K30" s="10">
        <v>230</v>
      </c>
      <c r="L30" s="10">
        <v>197.38</v>
      </c>
    </row>
    <row r="31" spans="1:12" x14ac:dyDescent="0.35">
      <c r="A31" s="9" t="s">
        <v>27</v>
      </c>
      <c r="B31" s="9" t="s">
        <v>42</v>
      </c>
      <c r="C31" s="10">
        <v>2051.1999999999998</v>
      </c>
      <c r="D31" s="10">
        <v>1060.98</v>
      </c>
      <c r="E31" s="10">
        <v>3129.91</v>
      </c>
      <c r="F31" s="10">
        <v>2070.2399999999998</v>
      </c>
      <c r="G31" s="10">
        <v>2095.58</v>
      </c>
      <c r="H31" s="10">
        <v>4252.97</v>
      </c>
      <c r="I31" s="10">
        <v>2077.9299999999998</v>
      </c>
      <c r="J31" s="10">
        <v>4280.3</v>
      </c>
      <c r="K31" s="10">
        <v>4252.97</v>
      </c>
      <c r="L31" s="10">
        <v>4252.97</v>
      </c>
    </row>
    <row r="32" spans="1:12" x14ac:dyDescent="0.35">
      <c r="A32" s="9" t="s">
        <v>27</v>
      </c>
      <c r="B32" s="9" t="s">
        <v>43</v>
      </c>
      <c r="C32" s="10">
        <v>0</v>
      </c>
      <c r="D32" s="10">
        <v>375</v>
      </c>
      <c r="E32" s="10">
        <v>0</v>
      </c>
      <c r="F32" s="10">
        <v>0</v>
      </c>
      <c r="G32" s="10">
        <v>185</v>
      </c>
      <c r="H32" s="10">
        <v>0</v>
      </c>
      <c r="I32" s="10">
        <v>410.09</v>
      </c>
      <c r="J32" s="10">
        <v>0</v>
      </c>
      <c r="K32" s="10">
        <v>81.44</v>
      </c>
      <c r="L32" s="10">
        <v>0</v>
      </c>
    </row>
    <row r="33" spans="1:12" x14ac:dyDescent="0.35">
      <c r="A33" s="9" t="s">
        <v>27</v>
      </c>
      <c r="B33" s="9" t="s">
        <v>44</v>
      </c>
      <c r="C33" s="10">
        <v>22.05</v>
      </c>
      <c r="D33" s="10"/>
      <c r="E33" s="10"/>
      <c r="F33" s="10"/>
      <c r="G33" s="10"/>
      <c r="H33" s="10">
        <v>28.25</v>
      </c>
      <c r="I33" s="10"/>
      <c r="J33" s="10"/>
      <c r="K33" s="10"/>
      <c r="L33" s="10"/>
    </row>
    <row r="34" spans="1:12" x14ac:dyDescent="0.35">
      <c r="A34" s="9" t="s">
        <v>27</v>
      </c>
      <c r="B34" s="9" t="s">
        <v>45</v>
      </c>
      <c r="C34" s="10">
        <v>1003.67</v>
      </c>
      <c r="D34" s="10">
        <v>841.69</v>
      </c>
      <c r="E34" s="10">
        <v>130.87</v>
      </c>
      <c r="F34" s="10"/>
      <c r="G34" s="10"/>
      <c r="H34" s="10">
        <v>389.92</v>
      </c>
      <c r="I34" s="10"/>
      <c r="J34" s="10"/>
      <c r="K34" s="10"/>
      <c r="L34" s="10"/>
    </row>
    <row r="35" spans="1:12" x14ac:dyDescent="0.35">
      <c r="A35" s="9" t="s">
        <v>27</v>
      </c>
      <c r="B35" s="9" t="s">
        <v>85</v>
      </c>
      <c r="C35" s="10"/>
      <c r="D35" s="10"/>
      <c r="E35" s="10"/>
      <c r="F35" s="10"/>
      <c r="G35" s="10"/>
      <c r="H35" s="10"/>
      <c r="I35" s="10"/>
      <c r="J35" s="10"/>
      <c r="K35" s="10"/>
      <c r="L35" s="10">
        <v>9628.8700000000008</v>
      </c>
    </row>
    <row r="36" spans="1:12" x14ac:dyDescent="0.35">
      <c r="A36" s="9" t="s">
        <v>27</v>
      </c>
      <c r="B36" s="9" t="s">
        <v>46</v>
      </c>
      <c r="C36" s="10">
        <v>429.43</v>
      </c>
      <c r="D36" s="10">
        <v>525.16</v>
      </c>
      <c r="E36" s="10">
        <v>542.45000000000005</v>
      </c>
      <c r="F36" s="10">
        <v>942.48</v>
      </c>
      <c r="G36" s="10">
        <v>670.47</v>
      </c>
      <c r="H36" s="10">
        <v>932.44</v>
      </c>
      <c r="I36" s="10">
        <v>839.55</v>
      </c>
      <c r="J36" s="10">
        <v>983.74</v>
      </c>
      <c r="K36" s="10">
        <v>853.32</v>
      </c>
      <c r="L36" s="10">
        <v>1092.26</v>
      </c>
    </row>
    <row r="37" spans="1:12" x14ac:dyDescent="0.35">
      <c r="A37" s="7"/>
      <c r="B37" s="7" t="s">
        <v>47</v>
      </c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x14ac:dyDescent="0.35">
      <c r="A38" s="9" t="s">
        <v>48</v>
      </c>
      <c r="B38" s="9" t="s">
        <v>49</v>
      </c>
      <c r="C38" s="10"/>
      <c r="D38" s="10"/>
      <c r="E38" s="10">
        <v>1.1100000000000001</v>
      </c>
      <c r="F38" s="10">
        <v>0</v>
      </c>
      <c r="G38" s="10">
        <v>0</v>
      </c>
      <c r="H38" s="10">
        <v>0</v>
      </c>
      <c r="I38" s="10">
        <v>0</v>
      </c>
      <c r="J38" s="10"/>
      <c r="K38" s="10"/>
      <c r="L38" s="10"/>
    </row>
    <row r="39" spans="1:12" x14ac:dyDescent="0.35">
      <c r="A39" s="9" t="s">
        <v>53</v>
      </c>
      <c r="B39" s="9" t="s">
        <v>54</v>
      </c>
      <c r="C39" s="10">
        <v>516.05999999999995</v>
      </c>
      <c r="D39" s="10">
        <v>466.39</v>
      </c>
      <c r="E39" s="10">
        <v>424.98</v>
      </c>
      <c r="F39" s="10">
        <v>506.64</v>
      </c>
      <c r="G39" s="10">
        <v>772.53</v>
      </c>
      <c r="H39" s="10">
        <v>573.49</v>
      </c>
      <c r="I39" s="10">
        <v>585.01</v>
      </c>
      <c r="J39" s="10">
        <v>624.86</v>
      </c>
      <c r="K39" s="10">
        <v>568.77</v>
      </c>
      <c r="L39" s="10">
        <v>557.84</v>
      </c>
    </row>
    <row r="40" spans="1:12" x14ac:dyDescent="0.35">
      <c r="A40" s="7"/>
      <c r="B40" s="7" t="s">
        <v>50</v>
      </c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s="11" customFormat="1" x14ac:dyDescent="0.35">
      <c r="A41" s="12" t="s">
        <v>51</v>
      </c>
      <c r="B41" s="12" t="s">
        <v>52</v>
      </c>
      <c r="C41" s="13">
        <v>221.97</v>
      </c>
      <c r="D41" s="13">
        <v>246.97</v>
      </c>
      <c r="E41" s="13">
        <v>246.97</v>
      </c>
      <c r="F41" s="13">
        <v>246.97</v>
      </c>
      <c r="G41" s="13">
        <v>267.83999999999997</v>
      </c>
      <c r="H41" s="13">
        <v>267.83999999999997</v>
      </c>
      <c r="I41" s="13">
        <v>267.83999999999997</v>
      </c>
      <c r="J41" s="13">
        <v>267.83999999999997</v>
      </c>
      <c r="K41" s="13">
        <v>267.83999999999997</v>
      </c>
      <c r="L41" s="13">
        <v>267.83999999999997</v>
      </c>
    </row>
    <row r="42" spans="1:12" s="11" customFormat="1" x14ac:dyDescent="0.35">
      <c r="A42" s="9" t="s">
        <v>83</v>
      </c>
      <c r="B42" s="9" t="s">
        <v>82</v>
      </c>
      <c r="C42" s="10"/>
      <c r="D42" s="10"/>
      <c r="E42" s="10"/>
      <c r="F42" s="10"/>
      <c r="G42" s="10"/>
      <c r="H42" s="10"/>
      <c r="I42" s="10"/>
      <c r="J42" s="10">
        <v>40000</v>
      </c>
      <c r="K42" s="10"/>
      <c r="L42" s="10"/>
    </row>
    <row r="43" spans="1:12" s="11" customFormat="1" x14ac:dyDescent="0.35">
      <c r="A43" s="9" t="s">
        <v>83</v>
      </c>
      <c r="B43" s="9" t="s">
        <v>86</v>
      </c>
      <c r="L43" s="13">
        <v>1919.19</v>
      </c>
    </row>
    <row r="44" spans="1:12" s="11" customFormat="1" x14ac:dyDescent="0.35">
      <c r="A44" s="14"/>
      <c r="B44" s="7" t="s">
        <v>55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x14ac:dyDescent="0.35">
      <c r="A45" s="9" t="s">
        <v>56</v>
      </c>
      <c r="B45" s="9" t="s">
        <v>57</v>
      </c>
      <c r="C45" s="10">
        <v>196934.96000000002</v>
      </c>
      <c r="D45" s="10">
        <v>202467.40999999997</v>
      </c>
      <c r="E45" s="10">
        <v>230976.75</v>
      </c>
      <c r="F45" s="10">
        <v>244224.25999999998</v>
      </c>
      <c r="G45" s="10">
        <v>262550.76</v>
      </c>
      <c r="H45" s="10">
        <v>280011.25</v>
      </c>
      <c r="I45" s="10">
        <v>276221.34999999998</v>
      </c>
      <c r="J45" s="16">
        <v>237998.97</v>
      </c>
      <c r="K45" s="16">
        <v>259018.9</v>
      </c>
      <c r="L45" s="16">
        <v>263357.38</v>
      </c>
    </row>
    <row r="46" spans="1:12" x14ac:dyDescent="0.35">
      <c r="A46" s="9" t="s">
        <v>58</v>
      </c>
      <c r="B46" s="9" t="s">
        <v>59</v>
      </c>
      <c r="C46" s="10">
        <v>11250</v>
      </c>
      <c r="D46" s="10">
        <v>11250</v>
      </c>
      <c r="E46" s="10">
        <v>12250</v>
      </c>
      <c r="F46" s="10">
        <v>12250</v>
      </c>
      <c r="G46" s="10">
        <v>14250</v>
      </c>
      <c r="H46" s="10">
        <v>15250</v>
      </c>
      <c r="I46" s="10">
        <v>16250</v>
      </c>
      <c r="J46" s="10">
        <v>17750</v>
      </c>
      <c r="K46" s="10">
        <v>19250</v>
      </c>
      <c r="L46" s="10">
        <v>20250</v>
      </c>
    </row>
    <row r="47" spans="1:12" x14ac:dyDescent="0.35">
      <c r="A47" s="7"/>
      <c r="B47" s="7" t="s">
        <v>60</v>
      </c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35">
      <c r="A48" s="9" t="s">
        <v>61</v>
      </c>
      <c r="B48" s="9" t="s">
        <v>62</v>
      </c>
      <c r="C48" s="10">
        <v>-932.95</v>
      </c>
      <c r="D48" s="10">
        <v>-1029.8</v>
      </c>
      <c r="E48" s="10">
        <v>-1126.6500000000001</v>
      </c>
      <c r="F48" s="10">
        <v>-1223.5</v>
      </c>
      <c r="G48" s="10">
        <v>-1341.22</v>
      </c>
      <c r="H48" s="10">
        <v>-1458.94</v>
      </c>
      <c r="I48" s="10">
        <v>-1576.66</v>
      </c>
      <c r="J48" s="10">
        <v>-1694.38</v>
      </c>
      <c r="K48" s="10">
        <v>-1812.1</v>
      </c>
      <c r="L48" s="10">
        <v>-1929.82</v>
      </c>
    </row>
    <row r="49" spans="1:12" x14ac:dyDescent="0.35">
      <c r="A49" s="9" t="s">
        <v>61</v>
      </c>
      <c r="B49" s="9" t="s">
        <v>63</v>
      </c>
      <c r="C49" s="10">
        <v>-1801.41</v>
      </c>
      <c r="D49" s="10">
        <v>-1951.53</v>
      </c>
      <c r="E49" s="10">
        <v>-2101.65</v>
      </c>
      <c r="F49" s="10">
        <v>-2251.77</v>
      </c>
      <c r="G49" s="10">
        <v>-2401.89</v>
      </c>
      <c r="H49" s="10">
        <v>-2552.0100000000002</v>
      </c>
      <c r="I49" s="10">
        <v>-2702.13</v>
      </c>
      <c r="J49" s="10">
        <v>-2852.25</v>
      </c>
      <c r="K49" s="10">
        <v>-3002.37</v>
      </c>
      <c r="L49" s="10">
        <v>-3152.49</v>
      </c>
    </row>
    <row r="50" spans="1:12" x14ac:dyDescent="0.35">
      <c r="A50" s="9" t="s">
        <v>61</v>
      </c>
      <c r="B50" s="9" t="s">
        <v>64</v>
      </c>
      <c r="C50" s="10">
        <v>4311</v>
      </c>
      <c r="D50" s="10">
        <v>5811</v>
      </c>
      <c r="E50" s="10">
        <v>5811</v>
      </c>
      <c r="F50" s="10">
        <v>5811</v>
      </c>
      <c r="G50" s="10">
        <v>7063.34</v>
      </c>
      <c r="H50" s="10">
        <v>7063.34</v>
      </c>
      <c r="I50" s="10">
        <v>7063.34</v>
      </c>
      <c r="J50" s="10">
        <v>7063.34</v>
      </c>
      <c r="K50" s="10">
        <v>7063.34</v>
      </c>
      <c r="L50" s="10">
        <v>7063.34</v>
      </c>
    </row>
    <row r="51" spans="1:12" x14ac:dyDescent="0.35">
      <c r="A51" s="9" t="s">
        <v>61</v>
      </c>
      <c r="B51" s="9" t="s">
        <v>65</v>
      </c>
      <c r="C51" s="10">
        <v>9007.01</v>
      </c>
      <c r="D51" s="10">
        <v>9007.01</v>
      </c>
      <c r="E51" s="10">
        <v>9007.01</v>
      </c>
      <c r="F51" s="10">
        <v>9007.01</v>
      </c>
      <c r="G51" s="10">
        <v>9007.01</v>
      </c>
      <c r="H51" s="10">
        <v>9007.01</v>
      </c>
      <c r="I51" s="10">
        <v>9007.01</v>
      </c>
      <c r="J51" s="10">
        <v>9007.01</v>
      </c>
      <c r="K51" s="10">
        <v>9007.01</v>
      </c>
      <c r="L51" s="10">
        <v>9007.01</v>
      </c>
    </row>
    <row r="52" spans="1:12" x14ac:dyDescent="0.35">
      <c r="A52" s="7"/>
      <c r="B52" s="7" t="s">
        <v>66</v>
      </c>
      <c r="C52" s="8"/>
      <c r="D52" s="8"/>
      <c r="E52" s="8"/>
      <c r="F52" s="8"/>
      <c r="G52" s="8"/>
      <c r="H52" s="8"/>
      <c r="I52" s="8"/>
      <c r="J52" s="8"/>
      <c r="K52" s="8"/>
    </row>
    <row r="53" spans="1:12" x14ac:dyDescent="0.35">
      <c r="A53" s="9" t="s">
        <v>67</v>
      </c>
      <c r="B53" s="9" t="s">
        <v>68</v>
      </c>
      <c r="C53" s="10">
        <v>3022.2</v>
      </c>
      <c r="D53" s="10">
        <v>4986.5599999999995</v>
      </c>
      <c r="E53" s="10">
        <v>4509.01</v>
      </c>
      <c r="F53" s="10">
        <v>2568.46</v>
      </c>
      <c r="G53" s="10">
        <v>3152.92</v>
      </c>
      <c r="H53" s="10">
        <v>745.02</v>
      </c>
      <c r="I53" s="10">
        <v>599.32999999999993</v>
      </c>
      <c r="J53" s="10">
        <v>1433.44</v>
      </c>
      <c r="K53" s="10">
        <v>4607.8599999999997</v>
      </c>
      <c r="L53" s="10">
        <v>674.87</v>
      </c>
    </row>
    <row r="54" spans="1:12" x14ac:dyDescent="0.35">
      <c r="A54" s="9" t="s">
        <v>67</v>
      </c>
      <c r="B54" s="9" t="s">
        <v>69</v>
      </c>
      <c r="C54" s="10">
        <v>-283.11</v>
      </c>
      <c r="D54" s="10">
        <v>-283.11</v>
      </c>
      <c r="E54" s="10">
        <v>-283.11</v>
      </c>
      <c r="F54" s="10">
        <v>-283.11</v>
      </c>
      <c r="G54" s="10">
        <v>-283.11</v>
      </c>
      <c r="H54" s="10">
        <v>-283.11</v>
      </c>
      <c r="I54" s="10">
        <v>-283.11</v>
      </c>
      <c r="J54" s="10">
        <v>-283.11</v>
      </c>
      <c r="K54" s="10">
        <v>-283.11</v>
      </c>
      <c r="L54" s="10">
        <v>-283.11</v>
      </c>
    </row>
    <row r="55" spans="1:12" x14ac:dyDescent="0.35">
      <c r="A55" s="9" t="s">
        <v>67</v>
      </c>
      <c r="B55" s="9" t="s">
        <v>70</v>
      </c>
      <c r="C55" s="10">
        <v>1348.5</v>
      </c>
      <c r="D55" s="10">
        <v>1348.5</v>
      </c>
      <c r="E55" s="10">
        <v>1348.5</v>
      </c>
      <c r="F55" s="10">
        <v>1348.5</v>
      </c>
      <c r="G55" s="10">
        <v>1348.5</v>
      </c>
      <c r="H55" s="10">
        <v>2904.32</v>
      </c>
      <c r="I55" s="10">
        <v>-3030.85</v>
      </c>
      <c r="J55" s="10">
        <v>2904.32</v>
      </c>
      <c r="K55" s="10">
        <v>2904.32</v>
      </c>
      <c r="L55" s="10">
        <v>2904.32</v>
      </c>
    </row>
    <row r="56" spans="1:12" x14ac:dyDescent="0.35">
      <c r="A56" s="7"/>
      <c r="B56" s="7" t="s">
        <v>71</v>
      </c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x14ac:dyDescent="0.35">
      <c r="A57" s="7"/>
      <c r="B57" s="7" t="s">
        <v>72</v>
      </c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x14ac:dyDescent="0.35">
      <c r="A58" s="9" t="s">
        <v>73</v>
      </c>
      <c r="B58" s="9" t="s">
        <v>74</v>
      </c>
      <c r="C58" s="10">
        <v>201839.13</v>
      </c>
      <c r="D58" s="10">
        <v>201839.13</v>
      </c>
      <c r="E58" s="10">
        <v>201839.13</v>
      </c>
      <c r="F58" s="10">
        <v>201839.13</v>
      </c>
      <c r="G58" s="10">
        <v>201839.13</v>
      </c>
      <c r="H58" s="10">
        <v>201839.13</v>
      </c>
      <c r="I58" s="10">
        <v>201839.13</v>
      </c>
      <c r="J58" s="10">
        <v>201839.13</v>
      </c>
      <c r="K58" s="10">
        <v>201839.13</v>
      </c>
      <c r="L58" s="10">
        <v>201839.13</v>
      </c>
    </row>
    <row r="59" spans="1:12" x14ac:dyDescent="0.35">
      <c r="A59" s="9" t="s">
        <v>73</v>
      </c>
      <c r="B59" s="9" t="s">
        <v>75</v>
      </c>
      <c r="C59" s="10">
        <v>-164060.07</v>
      </c>
      <c r="D59" s="10">
        <v>-164060.07</v>
      </c>
      <c r="E59" s="10">
        <v>-164060.07</v>
      </c>
      <c r="F59" s="10">
        <v>-164060.07</v>
      </c>
      <c r="G59" s="10">
        <v>-167710.07</v>
      </c>
      <c r="H59" s="10">
        <v>-167710.07</v>
      </c>
      <c r="I59" s="10">
        <v>-167710.07</v>
      </c>
      <c r="J59" s="10">
        <v>-169365.07</v>
      </c>
      <c r="K59" s="10">
        <v>-169718.81</v>
      </c>
      <c r="L59" s="10">
        <v>-169718.81</v>
      </c>
    </row>
    <row r="60" spans="1:12" x14ac:dyDescent="0.35">
      <c r="A60" s="9" t="s">
        <v>76</v>
      </c>
      <c r="B60" s="9" t="s">
        <v>77</v>
      </c>
      <c r="C60" s="10">
        <v>171711.78</v>
      </c>
      <c r="D60" s="10">
        <v>171711.78</v>
      </c>
      <c r="E60" s="10">
        <v>171711.78</v>
      </c>
      <c r="F60" s="10">
        <v>171711.78</v>
      </c>
      <c r="G60" s="10">
        <v>171711.78</v>
      </c>
      <c r="H60" s="10">
        <v>171711.78</v>
      </c>
      <c r="I60" s="10">
        <v>171711.78</v>
      </c>
      <c r="J60" s="10">
        <v>171711.78</v>
      </c>
      <c r="K60" s="10">
        <v>171711.78</v>
      </c>
      <c r="L60" s="10">
        <v>171711.78</v>
      </c>
    </row>
    <row r="61" spans="1:12" x14ac:dyDescent="0.35">
      <c r="A61" s="9" t="s">
        <v>78</v>
      </c>
      <c r="B61" s="9" t="s">
        <v>79</v>
      </c>
      <c r="C61" s="10">
        <v>5190.18</v>
      </c>
      <c r="D61" s="10">
        <v>10011.299999999999</v>
      </c>
      <c r="E61" s="10">
        <v>39751.22</v>
      </c>
      <c r="F61" s="10">
        <v>54692.31</v>
      </c>
      <c r="G61" s="10">
        <v>79068.850000000006</v>
      </c>
      <c r="H61" s="10">
        <v>98113.58</v>
      </c>
      <c r="I61" s="10">
        <v>101136.7</v>
      </c>
      <c r="J61" s="10">
        <v>59032.2</v>
      </c>
      <c r="K61" s="10">
        <v>78463.61</v>
      </c>
      <c r="L61" s="10">
        <v>87467.24</v>
      </c>
    </row>
    <row r="62" spans="1:12" x14ac:dyDescent="0.35">
      <c r="C62" s="15"/>
      <c r="D62" s="15"/>
      <c r="E62" s="15"/>
      <c r="F62" s="15"/>
      <c r="G62" s="15"/>
      <c r="H62" s="15"/>
      <c r="I62" s="15"/>
      <c r="J62" s="15"/>
      <c r="K62" s="15"/>
    </row>
    <row r="63" spans="1:12" x14ac:dyDescent="0.35">
      <c r="C63" s="15"/>
      <c r="D63" s="15"/>
      <c r="E63" s="15"/>
      <c r="F63" s="15"/>
      <c r="G63" s="15"/>
      <c r="H63" s="15"/>
      <c r="I63" s="15"/>
      <c r="J63" s="15"/>
      <c r="K63" s="15"/>
      <c r="L63" s="15"/>
    </row>
    <row r="64" spans="1:12" x14ac:dyDescent="0.35">
      <c r="C64" s="15"/>
      <c r="D64" s="15"/>
      <c r="E64" s="15"/>
      <c r="F64" s="15"/>
      <c r="G64" s="15"/>
      <c r="H64" s="15"/>
      <c r="I64" s="15"/>
      <c r="J64" s="15"/>
      <c r="K64" s="15"/>
      <c r="L64" s="15"/>
    </row>
  </sheetData>
  <conditionalFormatting sqref="B42:B43 B9:B36">
    <cfRule type="duplicateValues" dxfId="1" priority="4"/>
  </conditionalFormatting>
  <conditionalFormatting sqref="B38:B39">
    <cfRule type="duplicateValues" dxfId="0" priority="5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kkr</dc:creator>
  <dc:description/>
  <cp:lastModifiedBy>Adish Jain</cp:lastModifiedBy>
  <cp:revision>1</cp:revision>
  <dcterms:created xsi:type="dcterms:W3CDTF">2025-06-30T08:49:41Z</dcterms:created>
  <dcterms:modified xsi:type="dcterms:W3CDTF">2025-11-28T05:21:09Z</dcterms:modified>
  <dc:language>en-US</dc:language>
</cp:coreProperties>
</file>