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<sst xmlns="http://schemas.openxmlformats.org/spreadsheetml/2006/main" count="94" uniqueCount="94">
  <si>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</si>
  <si>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</si>
  <si>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</si>
  <si>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</si>
  <si>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</si>
  <si>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</si>
  <si>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</si>
  <si>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</si>
  <si>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</si>
  <si>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</si>
  <si>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</si>
  <si>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</si>
  <si>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</si>
  <si>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Fixed Asset</t>
  </si>
  <si>
    <t xml:space="preserve">   Tangible assets</t>
  </si>
  <si>
    <t xml:space="preserve">      Capitalise</t>
  </si>
  <si>
    <t xml:space="preserve">      Computer/IT Equipments</t>
  </si>
  <si>
    <t xml:space="preserve">      Office Equipment Cost</t>
  </si>
  <si>
    <t xml:space="preserve">      Office Equipment Depreciation</t>
  </si>
  <si>
    <t xml:space="preserve">   Total Tangible assets</t>
  </si>
  <si>
    <t>Total Fixed Asset</t>
  </si>
  <si>
    <t>Cash at bank and in hand</t>
  </si>
  <si>
    <t xml:space="preserve">   Bank / bank diff</t>
  </si>
  <si>
    <t xml:space="preserve">   Barclays LCH 73250342</t>
  </si>
  <si>
    <t xml:space="preserve">   Barclays SMC 5477</t>
  </si>
  <si>
    <t xml:space="preserve">   Lloyds LCH 3568</t>
  </si>
  <si>
    <t xml:space="preserve">   Lloyds Private 0260</t>
  </si>
  <si>
    <t xml:space="preserve">   Lloyds R&amp;D 9968</t>
  </si>
  <si>
    <t xml:space="preserve">   Lloyds SMC 2860</t>
  </si>
  <si>
    <t xml:space="preserve">   Petty Cash account</t>
  </si>
  <si>
    <t xml:space="preserve">   Pleo Bank</t>
  </si>
  <si>
    <t>Total Cash at bank and in hand</t>
  </si>
  <si>
    <t>Debtors</t>
  </si>
  <si>
    <t xml:space="preserve">   Debtors</t>
  </si>
  <si>
    <t xml:space="preserve">   Other trade debtors</t>
  </si>
  <si>
    <t>Total Debtors</t>
  </si>
  <si>
    <t>Current Assets</t>
  </si>
  <si>
    <t xml:space="preserve">   Amount owe to Dishley Grange Medical</t>
  </si>
  <si>
    <t xml:space="preserve">   Computer/IT Equipments Depreciation</t>
  </si>
  <si>
    <t xml:space="preserve">   Inter entity transfers</t>
  </si>
  <si>
    <t xml:space="preserve">      Inter entity transfer - DGMP</t>
  </si>
  <si>
    <t xml:space="preserve">      Inter entity transfer - DMS</t>
  </si>
  <si>
    <t xml:space="preserve">      Inter entity transfers - WMC</t>
  </si>
  <si>
    <t xml:space="preserve">   Total Inter entity transfers</t>
  </si>
  <si>
    <t xml:space="preserve">   Investments - Other</t>
  </si>
  <si>
    <t xml:space="preserve">   Loan to Ideoshift Ltd</t>
  </si>
  <si>
    <t xml:space="preserve">   Loan to Olympus Health</t>
  </si>
  <si>
    <t xml:space="preserve">   Loan to Willows Property Venture</t>
  </si>
  <si>
    <t xml:space="preserve">   Loan Willows Pharma Ltd</t>
  </si>
  <si>
    <t xml:space="preserve">   Loans to CB1 Pharmacy</t>
  </si>
  <si>
    <t xml:space="preserve">   Loans to Shareholders</t>
  </si>
  <si>
    <t xml:space="preserve">   Other Debtors</t>
  </si>
  <si>
    <t xml:space="preserve">   Prepayments</t>
  </si>
  <si>
    <t xml:space="preserve">   Stock Asset</t>
  </si>
  <si>
    <t xml:space="preserve">   Undeposited Funds</t>
  </si>
  <si>
    <t>Total Current Assets</t>
  </si>
  <si>
    <t>Net current assets</t>
  </si>
  <si>
    <t>Creditors: amounts falling due within one year</t>
  </si>
  <si>
    <t xml:space="preserve">   Trade Creditors</t>
  </si>
  <si>
    <t xml:space="preserve">      Creditors</t>
  </si>
  <si>
    <t xml:space="preserve">   Total Trade Creditors</t>
  </si>
  <si>
    <t xml:space="preserve">   Current Liabilities</t>
  </si>
  <si>
    <t xml:space="preserve">      Accruals and Deferred Income</t>
  </si>
  <si>
    <t xml:space="preserve">      Corporation Tax Liability</t>
  </si>
  <si>
    <t xml:space="preserve">      Deferred Taxation</t>
  </si>
  <si>
    <t xml:space="preserve">      Loan EAF DES Trust</t>
  </si>
  <si>
    <t xml:space="preserve">      Loan from Partners</t>
  </si>
  <si>
    <t xml:space="preserve">      Loan Funding Circle Ltd</t>
  </si>
  <si>
    <t xml:space="preserve">      VAT Control</t>
  </si>
  <si>
    <t xml:space="preserve">      VAT Suspense</t>
  </si>
  <si>
    <t xml:space="preserve">   Total Current Liabilities</t>
  </si>
  <si>
    <t>Total Creditors: amounts falling due within one year</t>
  </si>
  <si>
    <t>Net current assets (liabilities)</t>
  </si>
  <si>
    <t>Total assets less current liabilities</t>
  </si>
  <si>
    <t>Creditors: amounts falling due after more than one year</t>
  </si>
  <si>
    <t xml:space="preserve">   Bank Loan</t>
  </si>
  <si>
    <t xml:space="preserve">   Dividends Paid</t>
  </si>
  <si>
    <t>Total Creditors: amounts falling due after more than one year</t>
  </si>
  <si>
    <t>Total net assets (liabilities)</t>
  </si>
  <si>
    <t>Capital and Reserves</t>
  </si>
  <si>
    <t xml:space="preserve">   Drawings - Dr A Prasad</t>
  </si>
  <si>
    <t xml:space="preserve">   Drawings - Dr F Rizvi</t>
  </si>
  <si>
    <t xml:space="preserve">   Drawings - Dr R Prasad</t>
  </si>
  <si>
    <t xml:space="preserve">   Drawings - Dr T Kapasi</t>
  </si>
  <si>
    <t xml:space="preserve">   Drawings - Dr V Gupta</t>
  </si>
  <si>
    <t xml:space="preserve">   Opening Balance Equity</t>
  </si>
  <si>
    <t xml:space="preserve">   Ordinary shares</t>
  </si>
  <si>
    <t xml:space="preserve">   Retained Earnings</t>
  </si>
  <si>
    <t xml:space="preserve">   Profit for the year</t>
  </si>
  <si>
    <t>Total Capital and Reserves</t>
  </si>
  <si>
    <t>Friday, Feb 28, 2025 07:14:59 am GMT0 - Accrual Basis</t>
  </si>
  <si>
    <t>Willows Group Ltd</t>
  </si>
  <si>
    <t>Balance Sheet</t>
  </si>
  <si>
    <t>As of January 31, 2025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</si>
</sst>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£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6"/>
  <sheetViews>
    <sheetView workbookViewId="0" tabSelected="true"/>
  </sheetViews>
  <sheetFormatPr defaultRowHeight="15.0"/>
  <cols>
    <col min="1" max="1" width="53.28125" customWidth="true"/>
    <col min="2" max="2" width="13.75" customWidth="true"/>
    <col min="3" max="3" width="13.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4.609375" customWidth="true"/>
    <col min="11" max="11" width="14.609375" customWidth="true"/>
    <col min="12" max="12" width="14.609375" customWidth="true"/>
    <col min="13" max="13" width="13.75" customWidth="true"/>
    <col min="14" max="14" width="13.75" customWidth="true"/>
  </cols>
  <sheetData>
    <row r="1">
      <c r="A1" s="9" t="s">
        <v>91</v>
      </c>
      <c r="B1"/>
      <c r="C1"/>
      <c r="D1"/>
      <c r="E1"/>
      <c r="F1"/>
      <c r="G1"/>
      <c r="H1"/>
      <c r="I1"/>
      <c r="J1"/>
      <c r="K1"/>
      <c r="L1"/>
      <c r="M1"/>
      <c r="N1"/>
    </row>
    <row r="2">
      <c r="A2" s="9" t="s">
        <v>92</v>
      </c>
      <c r="B2"/>
      <c r="C2"/>
      <c r="D2"/>
      <c r="E2"/>
      <c r="F2"/>
      <c r="G2"/>
      <c r="H2"/>
      <c r="I2"/>
      <c r="J2"/>
      <c r="K2"/>
      <c r="L2"/>
      <c r="M2"/>
      <c r="N2"/>
    </row>
    <row r="3">
      <c r="A3" s="10" t="s">
        <v>93</v>
      </c>
      <c r="B3"/>
      <c r="C3"/>
      <c r="D3"/>
      <c r="E3"/>
      <c r="F3"/>
      <c r="G3"/>
      <c r="H3"/>
      <c r="I3"/>
      <c r="J3"/>
      <c r="K3"/>
      <c r="L3"/>
      <c r="M3"/>
      <c r="N3"/>
    </row>
    <row r="5">
      <c r="A5" s="1"/>
      <c r="B5" t="s" s="2">
        <v>0</v>
      </c>
      <c r="C5" t="s" s="2">
        <v>1</v>
      </c>
      <c r="D5" t="s" s="2">
        <v>2</v>
      </c>
      <c r="E5" t="s" s="2">
        <v>3</v>
      </c>
      <c r="F5" t="s" s="2">
        <v>4</v>
      </c>
      <c r="G5" t="s" s="2">
        <v>5</v>
      </c>
      <c r="H5" t="s" s="2">
        <v>6</v>
      </c>
      <c r="I5" t="s" s="2">
        <v>7</v>
      </c>
      <c r="J5" t="s" s="2">
        <v>8</v>
      </c>
      <c r="K5" t="s" s="2">
        <v>9</v>
      </c>
      <c r="L5" t="s" s="2">
        <v>10</v>
      </c>
      <c r="M5" t="s" s="2">
        <v>11</v>
      </c>
      <c r="N5" t="s" s="2">
        <v>12</v>
      </c>
    </row>
    <row r="6">
      <c r="A6" t="s" s="3">
        <v>13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>
      <c r="A7" t="s" s="3">
        <v>14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>
      <c r="A8" t="s" s="3">
        <v>15</v>
      </c>
      <c r="B8" t="n" s="5">
        <f>450339.50</f>
        <v>0.0</v>
      </c>
      <c r="C8" t="n" s="5">
        <f>452619.50</f>
        <v>0.0</v>
      </c>
      <c r="D8" t="n" s="5">
        <f>C8</f>
        <v>0.0</v>
      </c>
      <c r="E8" t="n" s="5">
        <f>D8</f>
        <v>0.0</v>
      </c>
      <c r="F8" t="n" s="5">
        <f>E8</f>
        <v>0.0</v>
      </c>
      <c r="G8" t="n" s="5">
        <f>F8</f>
        <v>0.0</v>
      </c>
      <c r="H8" t="n" s="5">
        <f>G8</f>
        <v>0.0</v>
      </c>
      <c r="I8" t="n" s="5">
        <f>H8</f>
        <v>0.0</v>
      </c>
      <c r="J8" t="n" s="5">
        <f>I8</f>
        <v>0.0</v>
      </c>
      <c r="K8" t="n" s="5">
        <f>J8</f>
        <v>0.0</v>
      </c>
      <c r="L8" t="n" s="5">
        <f>K8</f>
        <v>0.0</v>
      </c>
      <c r="M8" t="n" s="5">
        <f>L8</f>
        <v>0.0</v>
      </c>
      <c r="N8" t="n" s="5">
        <f>M8</f>
        <v>0.0</v>
      </c>
    </row>
    <row r="9">
      <c r="A9" t="s" s="3">
        <v>16</v>
      </c>
      <c r="B9" t="n" s="5">
        <f>7033.58</f>
        <v>0.0</v>
      </c>
      <c r="C9" t="n" s="5">
        <f>7077.57</f>
        <v>0.0</v>
      </c>
      <c r="D9" t="n" s="5">
        <f>7207.41</f>
        <v>0.0</v>
      </c>
      <c r="E9" t="n" s="5">
        <f>7389.47</f>
        <v>0.0</v>
      </c>
      <c r="F9" t="n" s="5">
        <f>E9</f>
        <v>0.0</v>
      </c>
      <c r="G9" t="n" s="5">
        <f>F9</f>
        <v>0.0</v>
      </c>
      <c r="H9" t="n" s="5">
        <f>10764.87</f>
        <v>0.0</v>
      </c>
      <c r="I9" t="n" s="5">
        <f>H9</f>
        <v>0.0</v>
      </c>
      <c r="J9" t="n" s="5">
        <f>I9</f>
        <v>0.0</v>
      </c>
      <c r="K9" t="n" s="5">
        <f>12143.85</f>
        <v>0.0</v>
      </c>
      <c r="L9" t="n" s="5">
        <f>K9</f>
        <v>0.0</v>
      </c>
      <c r="M9" t="n" s="5">
        <f>L9</f>
        <v>0.0</v>
      </c>
      <c r="N9" t="n" s="5">
        <f>M9</f>
        <v>0.0</v>
      </c>
    </row>
    <row r="10">
      <c r="A10" t="s" s="3">
        <v>17</v>
      </c>
      <c r="B10" t="n" s="5">
        <f>203255.42</f>
        <v>0.0</v>
      </c>
      <c r="C10" t="n" s="5">
        <f>204222.41</f>
        <v>0.0</v>
      </c>
      <c r="D10" t="n" s="5">
        <f>208200.41</f>
        <v>0.0</v>
      </c>
      <c r="E10" t="n" s="5">
        <f>208364.84</f>
        <v>0.0</v>
      </c>
      <c r="F10" t="n" s="5">
        <f>209180.31</f>
        <v>0.0</v>
      </c>
      <c r="G10" t="n" s="5">
        <f>209192.29</f>
        <v>0.0</v>
      </c>
      <c r="H10" t="n" s="5">
        <f>216446.29</f>
        <v>0.0</v>
      </c>
      <c r="I10" t="n" s="5">
        <f>216688.13</f>
        <v>0.0</v>
      </c>
      <c r="J10" t="n" s="5">
        <f>218566.13</f>
        <v>0.0</v>
      </c>
      <c r="K10" t="n" s="5">
        <f>J10</f>
        <v>0.0</v>
      </c>
      <c r="L10" t="n" s="5">
        <f>220070.23</f>
        <v>0.0</v>
      </c>
      <c r="M10" t="n" s="5">
        <f>220429.96</f>
        <v>0.0</v>
      </c>
      <c r="N10" t="n" s="5">
        <f>221243.78</f>
        <v>0.0</v>
      </c>
    </row>
    <row r="11">
      <c r="A11" t="s" s="3">
        <v>18</v>
      </c>
      <c r="B11" t="n" s="5">
        <f>-47129.48</f>
        <v>0.0</v>
      </c>
      <c r="C11" t="n" s="5">
        <f>-47109.49</f>
        <v>0.0</v>
      </c>
      <c r="D11" t="n" s="5">
        <f>-47033.00</f>
        <v>0.0</v>
      </c>
      <c r="E11" t="n" s="5">
        <f>-45446.00</f>
        <v>0.0</v>
      </c>
      <c r="F11" t="n" s="5">
        <f>-45252.01</f>
        <v>0.0</v>
      </c>
      <c r="G11" t="n" s="5">
        <f>F11</f>
        <v>0.0</v>
      </c>
      <c r="H11" t="n" s="5">
        <f>-45170.21</f>
        <v>0.0</v>
      </c>
      <c r="I11" t="n" s="5">
        <f>-45134.26</f>
        <v>0.0</v>
      </c>
      <c r="J11" t="n" s="5">
        <f>I11</f>
        <v>0.0</v>
      </c>
      <c r="K11" t="n" s="5">
        <f>-45116.86</f>
        <v>0.0</v>
      </c>
      <c r="L11" t="n" s="5">
        <f>K11</f>
        <v>0.0</v>
      </c>
      <c r="M11" t="n" s="5">
        <f>-44933.28</f>
        <v>0.0</v>
      </c>
      <c r="N11" t="n" s="5">
        <f>-44647.68</f>
        <v>0.0</v>
      </c>
    </row>
    <row r="12">
      <c r="A12" t="s" s="3">
        <v>19</v>
      </c>
      <c r="B12" t="n" s="6">
        <f>(((B8)+(B9))+(B10))+(B11)</f>
        <v>0.0</v>
      </c>
      <c r="C12" t="n" s="6">
        <f>(((C8)+(C9))+(C10))+(C11)</f>
        <v>0.0</v>
      </c>
      <c r="D12" t="n" s="6">
        <f>(((D8)+(D9))+(D10))+(D11)</f>
        <v>0.0</v>
      </c>
      <c r="E12" t="n" s="6">
        <f>(((E8)+(E9))+(E10))+(E11)</f>
        <v>0.0</v>
      </c>
      <c r="F12" t="n" s="6">
        <f>(((F8)+(F9))+(F10))+(F11)</f>
        <v>0.0</v>
      </c>
      <c r="G12" t="n" s="6">
        <f>(((G8)+(G9))+(G10))+(G11)</f>
        <v>0.0</v>
      </c>
      <c r="H12" t="n" s="6">
        <f>(((H8)+(H9))+(H10))+(H11)</f>
        <v>0.0</v>
      </c>
      <c r="I12" t="n" s="6">
        <f>(((I8)+(I9))+(I10))+(I11)</f>
        <v>0.0</v>
      </c>
      <c r="J12" t="n" s="6">
        <f>(((J8)+(J9))+(J10))+(J11)</f>
        <v>0.0</v>
      </c>
      <c r="K12" t="n" s="6">
        <f>(((K8)+(K9))+(K10))+(K11)</f>
        <v>0.0</v>
      </c>
      <c r="L12" t="n" s="6">
        <f>(((L8)+(L9))+(L10))+(L11)</f>
        <v>0.0</v>
      </c>
      <c r="M12" t="n" s="6">
        <f>(((M8)+(M9))+(M10))+(M11)</f>
        <v>0.0</v>
      </c>
      <c r="N12" t="n" s="6">
        <f>(((N8)+(N9))+(N10))+(N11)</f>
        <v>0.0</v>
      </c>
    </row>
    <row r="13">
      <c r="A13" t="s" s="3">
        <v>20</v>
      </c>
      <c r="B13" t="n" s="6">
        <f>B12</f>
        <v>0.0</v>
      </c>
      <c r="C13" t="n" s="6">
        <f>C12</f>
        <v>0.0</v>
      </c>
      <c r="D13" t="n" s="6">
        <f>D12</f>
        <v>0.0</v>
      </c>
      <c r="E13" t="n" s="6">
        <f>E12</f>
        <v>0.0</v>
      </c>
      <c r="F13" t="n" s="6">
        <f>F12</f>
        <v>0.0</v>
      </c>
      <c r="G13" t="n" s="6">
        <f>G12</f>
        <v>0.0</v>
      </c>
      <c r="H13" t="n" s="6">
        <f>H12</f>
        <v>0.0</v>
      </c>
      <c r="I13" t="n" s="6">
        <f>I12</f>
        <v>0.0</v>
      </c>
      <c r="J13" t="n" s="6">
        <f>J12</f>
        <v>0.0</v>
      </c>
      <c r="K13" t="n" s="6">
        <f>K12</f>
        <v>0.0</v>
      </c>
      <c r="L13" t="n" s="6">
        <f>L12</f>
        <v>0.0</v>
      </c>
      <c r="M13" t="n" s="6">
        <f>M12</f>
        <v>0.0</v>
      </c>
      <c r="N13" t="n" s="6">
        <f>N12</f>
        <v>0.0</v>
      </c>
    </row>
    <row r="14">
      <c r="A14" t="s" s="3">
        <v>21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>
      <c r="A15" t="s" s="3">
        <v>22</v>
      </c>
      <c r="B15" t="n" s="5">
        <f>0.00</f>
        <v>0.0</v>
      </c>
      <c r="C15" t="n" s="5">
        <f>B15</f>
        <v>0.0</v>
      </c>
      <c r="D15" t="n" s="5">
        <f>C15</f>
        <v>0.0</v>
      </c>
      <c r="E15" t="n" s="5">
        <f>D15</f>
        <v>0.0</v>
      </c>
      <c r="F15" t="n" s="5">
        <f>E15</f>
        <v>0.0</v>
      </c>
      <c r="G15" t="n" s="5">
        <f>F15</f>
        <v>0.0</v>
      </c>
      <c r="H15" t="n" s="5">
        <f>G15</f>
        <v>0.0</v>
      </c>
      <c r="I15" t="n" s="5">
        <f>H15</f>
        <v>0.0</v>
      </c>
      <c r="J15" t="n" s="5">
        <f>I15</f>
        <v>0.0</v>
      </c>
      <c r="K15" t="n" s="5">
        <f>J15</f>
        <v>0.0</v>
      </c>
      <c r="L15" t="n" s="5">
        <f>K15</f>
        <v>0.0</v>
      </c>
      <c r="M15" t="n" s="5">
        <f>L15</f>
        <v>0.0</v>
      </c>
      <c r="N15" t="n" s="5">
        <f>M15</f>
        <v>0.0</v>
      </c>
    </row>
    <row r="16">
      <c r="A16" t="s" s="3">
        <v>23</v>
      </c>
      <c r="B16" t="n" s="5">
        <f>0.00</f>
        <v>0.0</v>
      </c>
      <c r="C16" t="n" s="5">
        <f>B16</f>
        <v>0.0</v>
      </c>
      <c r="D16" t="n" s="5">
        <f>C16</f>
        <v>0.0</v>
      </c>
      <c r="E16" t="n" s="5">
        <f>D16</f>
        <v>0.0</v>
      </c>
      <c r="F16" t="n" s="5">
        <f>E16</f>
        <v>0.0</v>
      </c>
      <c r="G16" t="n" s="5">
        <f>F16</f>
        <v>0.0</v>
      </c>
      <c r="H16" t="n" s="5">
        <f>G16</f>
        <v>0.0</v>
      </c>
      <c r="I16" t="n" s="5">
        <f>H16</f>
        <v>0.0</v>
      </c>
      <c r="J16" t="n" s="5">
        <f>I16</f>
        <v>0.0</v>
      </c>
      <c r="K16" t="n" s="5">
        <f>J16</f>
        <v>0.0</v>
      </c>
      <c r="L16" t="n" s="5">
        <f>K16</f>
        <v>0.0</v>
      </c>
      <c r="M16" t="n" s="5">
        <f>L16</f>
        <v>0.0</v>
      </c>
      <c r="N16" t="n" s="5">
        <f>M16</f>
        <v>0.0</v>
      </c>
    </row>
    <row r="17">
      <c r="A17" t="s" s="3">
        <v>24</v>
      </c>
      <c r="B17" t="n" s="5">
        <f>0.00</f>
        <v>0.0</v>
      </c>
      <c r="C17" t="n" s="5">
        <f>B17</f>
        <v>0.0</v>
      </c>
      <c r="D17" t="n" s="5">
        <f>C17</f>
        <v>0.0</v>
      </c>
      <c r="E17" t="n" s="5">
        <f>D17</f>
        <v>0.0</v>
      </c>
      <c r="F17" t="n" s="5">
        <f>E17</f>
        <v>0.0</v>
      </c>
      <c r="G17" t="n" s="5">
        <f>F17</f>
        <v>0.0</v>
      </c>
      <c r="H17" t="n" s="5">
        <f>G17</f>
        <v>0.0</v>
      </c>
      <c r="I17" t="n" s="5">
        <f>H17</f>
        <v>0.0</v>
      </c>
      <c r="J17" t="n" s="5">
        <f>I17</f>
        <v>0.0</v>
      </c>
      <c r="K17" t="n" s="5">
        <f>J17</f>
        <v>0.0</v>
      </c>
      <c r="L17" t="n" s="5">
        <f>K17</f>
        <v>0.0</v>
      </c>
      <c r="M17" t="n" s="5">
        <f>L17</f>
        <v>0.0</v>
      </c>
      <c r="N17" t="n" s="5">
        <f>M17</f>
        <v>0.0</v>
      </c>
    </row>
    <row r="18">
      <c r="A18" t="s" s="3">
        <v>25</v>
      </c>
      <c r="B18" t="n" s="5">
        <f>172409.26</f>
        <v>0.0</v>
      </c>
      <c r="C18" t="n" s="5">
        <f>60754.63</f>
        <v>0.0</v>
      </c>
      <c r="D18" t="n" s="5">
        <f>135102.21</f>
        <v>0.0</v>
      </c>
      <c r="E18" t="n" s="5">
        <f>67154.77</f>
        <v>0.0</v>
      </c>
      <c r="F18" t="n" s="5">
        <f>292679.13</f>
        <v>0.0</v>
      </c>
      <c r="G18" t="n" s="5">
        <f>572476.04</f>
        <v>0.0</v>
      </c>
      <c r="H18" t="n" s="5">
        <f>265838.40</f>
        <v>0.0</v>
      </c>
      <c r="I18" t="n" s="5">
        <f>68823.66</f>
        <v>0.0</v>
      </c>
      <c r="J18" t="n" s="5">
        <f>208970.38</f>
        <v>0.0</v>
      </c>
      <c r="K18" t="n" s="5">
        <f>236193.99</f>
        <v>0.0</v>
      </c>
      <c r="L18" t="n" s="5">
        <f>81476.42</f>
        <v>0.0</v>
      </c>
      <c r="M18" t="n" s="5">
        <f>267688.54</f>
        <v>0.0</v>
      </c>
      <c r="N18" t="n" s="5">
        <f>160681.69</f>
        <v>0.0</v>
      </c>
    </row>
    <row r="19">
      <c r="A19" t="s" s="3">
        <v>26</v>
      </c>
      <c r="B19" t="n" s="5">
        <f>20383.96</f>
        <v>0.0</v>
      </c>
      <c r="C19" t="n" s="5">
        <f>3335.19</f>
        <v>0.0</v>
      </c>
      <c r="D19" t="n" s="5">
        <f>8646.26</f>
        <v>0.0</v>
      </c>
      <c r="E19" t="n" s="5">
        <f>13973.48</f>
        <v>0.0</v>
      </c>
      <c r="F19" t="n" s="5">
        <f>20095.45</f>
        <v>0.0</v>
      </c>
      <c r="G19" t="n" s="5">
        <f>24088.27</f>
        <v>0.0</v>
      </c>
      <c r="H19" t="n" s="5">
        <f>29655.37</f>
        <v>0.0</v>
      </c>
      <c r="I19" t="n" s="5">
        <f>33462.33</f>
        <v>0.0</v>
      </c>
      <c r="J19" t="n" s="5">
        <f>8546.41</f>
        <v>0.0</v>
      </c>
      <c r="K19" t="n" s="5">
        <f>15323.81</f>
        <v>0.0</v>
      </c>
      <c r="L19" t="n" s="5">
        <f>19971.95</f>
        <v>0.0</v>
      </c>
      <c r="M19" t="n" s="5">
        <f>25470.13</f>
        <v>0.0</v>
      </c>
      <c r="N19" t="n" s="5">
        <f>31692.85</f>
        <v>0.0</v>
      </c>
    </row>
    <row r="20">
      <c r="A20" t="s" s="3">
        <v>27</v>
      </c>
      <c r="B20" t="n" s="5">
        <f>34033.94</f>
        <v>0.0</v>
      </c>
      <c r="C20" t="n" s="5">
        <f>4033.94</f>
        <v>0.0</v>
      </c>
      <c r="D20" t="n" s="5">
        <f>13938.94</f>
        <v>0.0</v>
      </c>
      <c r="E20" t="n" s="5">
        <f>13898.94</f>
        <v>0.0</v>
      </c>
      <c r="F20" t="n" s="5">
        <f>16878.94</f>
        <v>0.0</v>
      </c>
      <c r="G20" t="n" s="5">
        <f>F20</f>
        <v>0.0</v>
      </c>
      <c r="H20" t="n" s="5">
        <f>16178.94</f>
        <v>0.0</v>
      </c>
      <c r="I20" t="n" s="5">
        <f>H20</f>
        <v>0.0</v>
      </c>
      <c r="J20" t="n" s="5">
        <f>16138.94</f>
        <v>0.0</v>
      </c>
      <c r="K20" t="n" s="5">
        <f>23451.94</f>
        <v>0.0</v>
      </c>
      <c r="L20" t="n" s="5">
        <f>30523.94</f>
        <v>0.0</v>
      </c>
      <c r="M20" t="n" s="5">
        <f>30483.94</f>
        <v>0.0</v>
      </c>
      <c r="N20" t="n" s="5">
        <f>30475.44</f>
        <v>0.0</v>
      </c>
    </row>
    <row r="21">
      <c r="A21" t="s" s="3">
        <v>28</v>
      </c>
      <c r="B21" t="n" s="5">
        <f>37567.81</f>
        <v>0.0</v>
      </c>
      <c r="C21" t="n" s="5">
        <f>42727.85</f>
        <v>0.0</v>
      </c>
      <c r="D21" t="n" s="5">
        <f>61004.50</f>
        <v>0.0</v>
      </c>
      <c r="E21" t="n" s="5">
        <f>67676.58</f>
        <v>0.0</v>
      </c>
      <c r="F21" t="n" s="5">
        <f>73747.51</f>
        <v>0.0</v>
      </c>
      <c r="G21" t="n" s="5">
        <f>230961.33</f>
        <v>0.0</v>
      </c>
      <c r="H21" t="n" s="5">
        <f>524081.27</f>
        <v>0.0</v>
      </c>
      <c r="I21" t="n" s="5">
        <f>452543.96</f>
        <v>0.0</v>
      </c>
      <c r="J21" t="n" s="5">
        <f>455864.06</f>
        <v>0.0</v>
      </c>
      <c r="K21" t="n" s="5">
        <f>601389.14</f>
        <v>0.0</v>
      </c>
      <c r="L21" t="n" s="5">
        <f>740759.08</f>
        <v>0.0</v>
      </c>
      <c r="M21" t="n" s="5">
        <f>744255.18</f>
        <v>0.0</v>
      </c>
      <c r="N21" t="n" s="5">
        <f>753319.38</f>
        <v>0.0</v>
      </c>
    </row>
    <row r="22">
      <c r="A22" t="s" s="3">
        <v>29</v>
      </c>
      <c r="B22" t="n" s="5">
        <f>0.00</f>
        <v>0.0</v>
      </c>
      <c r="C22" t="n" s="5">
        <f>B22</f>
        <v>0.0</v>
      </c>
      <c r="D22" t="n" s="5">
        <f>C22</f>
        <v>0.0</v>
      </c>
      <c r="E22" t="n" s="5">
        <f>D22</f>
        <v>0.0</v>
      </c>
      <c r="F22" t="n" s="5">
        <f>E22</f>
        <v>0.0</v>
      </c>
      <c r="G22" t="n" s="5">
        <f>F22</f>
        <v>0.0</v>
      </c>
      <c r="H22" t="n" s="5">
        <f>G22</f>
        <v>0.0</v>
      </c>
      <c r="I22" t="n" s="5">
        <f>H22</f>
        <v>0.0</v>
      </c>
      <c r="J22" t="n" s="5">
        <f>I22</f>
        <v>0.0</v>
      </c>
      <c r="K22" t="n" s="5">
        <f>J22</f>
        <v>0.0</v>
      </c>
      <c r="L22" t="n" s="5">
        <f>K22</f>
        <v>0.0</v>
      </c>
      <c r="M22" t="n" s="5">
        <f>L22</f>
        <v>0.0</v>
      </c>
      <c r="N22" t="n" s="5">
        <f>M22</f>
        <v>0.0</v>
      </c>
    </row>
    <row r="23">
      <c r="A23" t="s" s="3">
        <v>30</v>
      </c>
      <c r="B23" t="n" s="5">
        <f>-472.17</f>
        <v>0.0</v>
      </c>
      <c r="C23" t="n" s="5">
        <f>94.13</f>
        <v>0.0</v>
      </c>
      <c r="D23" t="n" s="5">
        <f>-218.46</f>
        <v>0.0</v>
      </c>
      <c r="E23" t="n" s="5">
        <f>-267.65</f>
        <v>0.0</v>
      </c>
      <c r="F23" t="n" s="5">
        <f>75.10</f>
        <v>0.0</v>
      </c>
      <c r="G23" t="n" s="5">
        <f>3067.71</f>
        <v>0.0</v>
      </c>
      <c r="H23" t="n" s="5">
        <f>1612.99</f>
        <v>0.0</v>
      </c>
      <c r="I23" t="n" s="5">
        <f>-418.49</f>
        <v>0.0</v>
      </c>
      <c r="J23" t="n" s="5">
        <f>-121.13</f>
        <v>0.0</v>
      </c>
      <c r="K23" t="n" s="5">
        <f>2472.66</f>
        <v>0.0</v>
      </c>
      <c r="L23" t="n" s="5">
        <f>3449.75</f>
        <v>0.0</v>
      </c>
      <c r="M23" t="n" s="5">
        <f>-339.80</f>
        <v>0.0</v>
      </c>
      <c r="N23" t="n" s="5">
        <f>907.56</f>
        <v>0.0</v>
      </c>
    </row>
    <row r="24">
      <c r="A24" t="s" s="3">
        <v>31</v>
      </c>
      <c r="B24" t="n" s="6">
        <f>((((((((B15)+(B16))+(B17))+(B18))+(B19))+(B20))+(B21))+(B22))+(B23)</f>
        <v>0.0</v>
      </c>
      <c r="C24" t="n" s="6">
        <f>((((((((C15)+(C16))+(C17))+(C18))+(C19))+(C20))+(C21))+(C22))+(C23)</f>
        <v>0.0</v>
      </c>
      <c r="D24" t="n" s="6">
        <f>((((((((D15)+(D16))+(D17))+(D18))+(D19))+(D20))+(D21))+(D22))+(D23)</f>
        <v>0.0</v>
      </c>
      <c r="E24" t="n" s="6">
        <f>((((((((E15)+(E16))+(E17))+(E18))+(E19))+(E20))+(E21))+(E22))+(E23)</f>
        <v>0.0</v>
      </c>
      <c r="F24" t="n" s="6">
        <f>((((((((F15)+(F16))+(F17))+(F18))+(F19))+(F20))+(F21))+(F22))+(F23)</f>
        <v>0.0</v>
      </c>
      <c r="G24" t="n" s="6">
        <f>((((((((G15)+(G16))+(G17))+(G18))+(G19))+(G20))+(G21))+(G22))+(G23)</f>
        <v>0.0</v>
      </c>
      <c r="H24" t="n" s="6">
        <f>((((((((H15)+(H16))+(H17))+(H18))+(H19))+(H20))+(H21))+(H22))+(H23)</f>
        <v>0.0</v>
      </c>
      <c r="I24" t="n" s="6">
        <f>((((((((I15)+(I16))+(I17))+(I18))+(I19))+(I20))+(I21))+(I22))+(I23)</f>
        <v>0.0</v>
      </c>
      <c r="J24" t="n" s="6">
        <f>((((((((J15)+(J16))+(J17))+(J18))+(J19))+(J20))+(J21))+(J22))+(J23)</f>
        <v>0.0</v>
      </c>
      <c r="K24" t="n" s="6">
        <f>((((((((K15)+(K16))+(K17))+(K18))+(K19))+(K20))+(K21))+(K22))+(K23)</f>
        <v>0.0</v>
      </c>
      <c r="L24" t="n" s="6">
        <f>((((((((L15)+(L16))+(L17))+(L18))+(L19))+(L20))+(L21))+(L22))+(L23)</f>
        <v>0.0</v>
      </c>
      <c r="M24" t="n" s="6">
        <f>((((((((M15)+(M16))+(M17))+(M18))+(M19))+(M20))+(M21))+(M22))+(M23)</f>
        <v>0.0</v>
      </c>
      <c r="N24" t="n" s="6">
        <f>((((((((N15)+(N16))+(N17))+(N18))+(N19))+(N20))+(N21))+(N22))+(N23)</f>
        <v>0.0</v>
      </c>
    </row>
    <row r="25">
      <c r="A25" t="s" s="3">
        <v>32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>
      <c r="A26" t="s" s="3">
        <v>33</v>
      </c>
      <c r="B26" t="n" s="5">
        <f>244410.83</f>
        <v>0.0</v>
      </c>
      <c r="C26" t="n" s="5">
        <f>159237.59</f>
        <v>0.0</v>
      </c>
      <c r="D26" t="n" s="5">
        <f>261651.87</f>
        <v>0.0</v>
      </c>
      <c r="E26" t="n" s="5">
        <f>279757.99</f>
        <v>0.0</v>
      </c>
      <c r="F26" t="n" s="5">
        <f>389366.13</f>
        <v>0.0</v>
      </c>
      <c r="G26" t="n" s="5">
        <f>213643.33</f>
        <v>0.0</v>
      </c>
      <c r="H26" t="n" s="5">
        <f>93686.97</f>
        <v>0.0</v>
      </c>
      <c r="I26" t="n" s="5">
        <f>164414.07</f>
        <v>0.0</v>
      </c>
      <c r="J26" t="n" s="5">
        <f>192827.66</f>
        <v>0.0</v>
      </c>
      <c r="K26" t="n" s="5">
        <f>285896.84</f>
        <v>0.0</v>
      </c>
      <c r="L26" t="n" s="5">
        <f>143866.64</f>
        <v>0.0</v>
      </c>
      <c r="M26" t="n" s="5">
        <f>145071.45</f>
        <v>0.0</v>
      </c>
      <c r="N26" t="n" s="5">
        <f>94987.33</f>
        <v>0.0</v>
      </c>
    </row>
    <row r="27">
      <c r="A27" t="s" s="3">
        <v>34</v>
      </c>
      <c r="B27" t="n" s="5">
        <f>903757.19</f>
        <v>0.0</v>
      </c>
      <c r="C27" t="n" s="5">
        <f>B27</f>
        <v>0.0</v>
      </c>
      <c r="D27" t="n" s="5">
        <f>C27</f>
        <v>0.0</v>
      </c>
      <c r="E27" t="n" s="5">
        <f>D27</f>
        <v>0.0</v>
      </c>
      <c r="F27" t="n" s="5">
        <f>E27</f>
        <v>0.0</v>
      </c>
      <c r="G27" t="n" s="5">
        <f>F27</f>
        <v>0.0</v>
      </c>
      <c r="H27" t="n" s="5">
        <f>G27</f>
        <v>0.0</v>
      </c>
      <c r="I27" t="n" s="5">
        <f>H27</f>
        <v>0.0</v>
      </c>
      <c r="J27" t="n" s="5">
        <f>I27</f>
        <v>0.0</v>
      </c>
      <c r="K27" t="n" s="5">
        <f>J27</f>
        <v>0.0</v>
      </c>
      <c r="L27" t="n" s="5">
        <f>K27</f>
        <v>0.0</v>
      </c>
      <c r="M27" t="n" s="5">
        <f>L27</f>
        <v>0.0</v>
      </c>
      <c r="N27" t="n" s="5">
        <f>M27</f>
        <v>0.0</v>
      </c>
    </row>
    <row r="28">
      <c r="A28" t="s" s="3">
        <v>35</v>
      </c>
      <c r="B28" t="n" s="6">
        <f>(B26)+(B27)</f>
        <v>0.0</v>
      </c>
      <c r="C28" t="n" s="6">
        <f>(C26)+(C27)</f>
        <v>0.0</v>
      </c>
      <c r="D28" t="n" s="6">
        <f>(D26)+(D27)</f>
        <v>0.0</v>
      </c>
      <c r="E28" t="n" s="6">
        <f>(E26)+(E27)</f>
        <v>0.0</v>
      </c>
      <c r="F28" t="n" s="6">
        <f>(F26)+(F27)</f>
        <v>0.0</v>
      </c>
      <c r="G28" t="n" s="6">
        <f>(G26)+(G27)</f>
        <v>0.0</v>
      </c>
      <c r="H28" t="n" s="6">
        <f>(H26)+(H27)</f>
        <v>0.0</v>
      </c>
      <c r="I28" t="n" s="6">
        <f>(I26)+(I27)</f>
        <v>0.0</v>
      </c>
      <c r="J28" t="n" s="6">
        <f>(J26)+(J27)</f>
        <v>0.0</v>
      </c>
      <c r="K28" t="n" s="6">
        <f>(K26)+(K27)</f>
        <v>0.0</v>
      </c>
      <c r="L28" t="n" s="6">
        <f>(L26)+(L27)</f>
        <v>0.0</v>
      </c>
      <c r="M28" t="n" s="6">
        <f>(M26)+(M27)</f>
        <v>0.0</v>
      </c>
      <c r="N28" t="n" s="6">
        <f>(N26)+(N27)</f>
        <v>0.0</v>
      </c>
    </row>
    <row r="29">
      <c r="A29" t="s" s="3">
        <v>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>
      <c r="A30" t="s" s="3">
        <v>37</v>
      </c>
      <c r="B30" t="n" s="5">
        <f>0.00</f>
        <v>0.0</v>
      </c>
      <c r="C30" t="n" s="5">
        <f>B30</f>
        <v>0.0</v>
      </c>
      <c r="D30" t="n" s="5">
        <f>C30</f>
        <v>0.0</v>
      </c>
      <c r="E30" t="n" s="5">
        <f>D30</f>
        <v>0.0</v>
      </c>
      <c r="F30" t="n" s="5">
        <f>E30</f>
        <v>0.0</v>
      </c>
      <c r="G30" t="n" s="5">
        <f>F30</f>
        <v>0.0</v>
      </c>
      <c r="H30" t="n" s="5">
        <f>G30</f>
        <v>0.0</v>
      </c>
      <c r="I30" t="n" s="5">
        <f>H30</f>
        <v>0.0</v>
      </c>
      <c r="J30" t="n" s="5">
        <f>I30</f>
        <v>0.0</v>
      </c>
      <c r="K30" t="n" s="5">
        <f>J30</f>
        <v>0.0</v>
      </c>
      <c r="L30" t="n" s="5">
        <f>K30</f>
        <v>0.0</v>
      </c>
      <c r="M30" t="n" s="5">
        <f>L30</f>
        <v>0.0</v>
      </c>
      <c r="N30" t="n" s="5">
        <f>M30</f>
        <v>0.0</v>
      </c>
    </row>
    <row r="31">
      <c r="A31" t="s" s="3">
        <v>38</v>
      </c>
      <c r="B31" t="n" s="5">
        <f>-2091.00</f>
        <v>0.0</v>
      </c>
      <c r="C31" t="n" s="5">
        <f>B31</f>
        <v>0.0</v>
      </c>
      <c r="D31" t="n" s="5">
        <f>C31</f>
        <v>0.0</v>
      </c>
      <c r="E31" t="n" s="5">
        <f>D31</f>
        <v>0.0</v>
      </c>
      <c r="F31" t="n" s="5">
        <f>E31</f>
        <v>0.0</v>
      </c>
      <c r="G31" t="n" s="5">
        <f>F31</f>
        <v>0.0</v>
      </c>
      <c r="H31" t="n" s="5">
        <f>G31</f>
        <v>0.0</v>
      </c>
      <c r="I31" t="n" s="5">
        <f>H31</f>
        <v>0.0</v>
      </c>
      <c r="J31" t="n" s="5">
        <f>I31</f>
        <v>0.0</v>
      </c>
      <c r="K31" t="n" s="5">
        <f>J31</f>
        <v>0.0</v>
      </c>
      <c r="L31" t="n" s="5">
        <f>K31</f>
        <v>0.0</v>
      </c>
      <c r="M31" t="n" s="5">
        <f>L31</f>
        <v>0.0</v>
      </c>
      <c r="N31" t="n" s="5">
        <f>M31</f>
        <v>0.0</v>
      </c>
    </row>
    <row r="32">
      <c r="A32" t="s" s="3">
        <v>39</v>
      </c>
      <c r="B32" s="4"/>
      <c r="C32" t="n" s="5">
        <f>B32</f>
        <v>0.0</v>
      </c>
      <c r="D32" t="n" s="5">
        <f>-8062.99</f>
        <v>0.0</v>
      </c>
      <c r="E32" t="n" s="5">
        <f>0.00</f>
        <v>0.0</v>
      </c>
      <c r="F32" t="n" s="5">
        <f>E32</f>
        <v>0.0</v>
      </c>
      <c r="G32" t="n" s="5">
        <f>F32</f>
        <v>0.0</v>
      </c>
      <c r="H32" t="n" s="5">
        <f>G32</f>
        <v>0.0</v>
      </c>
      <c r="I32" t="n" s="5">
        <f>H32</f>
        <v>0.0</v>
      </c>
      <c r="J32" t="n" s="5">
        <f>I32</f>
        <v>0.0</v>
      </c>
      <c r="K32" t="n" s="5">
        <f>J32</f>
        <v>0.0</v>
      </c>
      <c r="L32" t="n" s="5">
        <f>K32</f>
        <v>0.0</v>
      </c>
      <c r="M32" t="n" s="5">
        <f>L32</f>
        <v>0.0</v>
      </c>
      <c r="N32" t="n" s="5">
        <f>M32</f>
        <v>0.0</v>
      </c>
    </row>
    <row r="33">
      <c r="A33" t="s" s="3">
        <v>40</v>
      </c>
      <c r="B33" t="n" s="5">
        <f>-40000.00</f>
        <v>0.0</v>
      </c>
      <c r="C33" t="n" s="5">
        <f>B33</f>
        <v>0.0</v>
      </c>
      <c r="D33" t="n" s="5">
        <f>C33</f>
        <v>0.0</v>
      </c>
      <c r="E33" t="n" s="5">
        <f>D33</f>
        <v>0.0</v>
      </c>
      <c r="F33" t="n" s="5">
        <f>E33</f>
        <v>0.0</v>
      </c>
      <c r="G33" t="n" s="5">
        <f>F33</f>
        <v>0.0</v>
      </c>
      <c r="H33" t="n" s="5">
        <f>G33</f>
        <v>0.0</v>
      </c>
      <c r="I33" t="n" s="5">
        <f>H33</f>
        <v>0.0</v>
      </c>
      <c r="J33" t="n" s="5">
        <f>60000.00</f>
        <v>0.0</v>
      </c>
      <c r="K33" t="n" s="5">
        <f>J33</f>
        <v>0.0</v>
      </c>
      <c r="L33" t="n" s="5">
        <f>185000.00</f>
        <v>0.0</v>
      </c>
      <c r="M33" t="n" s="5">
        <f>225000.00</f>
        <v>0.0</v>
      </c>
      <c r="N33" t="n" s="5">
        <f>325000.00</f>
        <v>0.0</v>
      </c>
    </row>
    <row r="34">
      <c r="A34" t="s" s="3">
        <v>41</v>
      </c>
      <c r="B34" s="4"/>
      <c r="C34" t="n" s="5">
        <f>B34</f>
        <v>0.0</v>
      </c>
      <c r="D34" t="n" s="5">
        <f>-500000.00</f>
        <v>0.0</v>
      </c>
      <c r="E34" t="n" s="5">
        <f>-850000.00</f>
        <v>0.0</v>
      </c>
      <c r="F34" t="n" s="5">
        <f>-1150000.00</f>
        <v>0.0</v>
      </c>
      <c r="G34" t="n" s="5">
        <f>-1500000.00</f>
        <v>0.0</v>
      </c>
      <c r="H34" t="n" s="5">
        <f>G34</f>
        <v>0.0</v>
      </c>
      <c r="I34" t="n" s="5">
        <f>H34</f>
        <v>0.0</v>
      </c>
      <c r="J34" t="n" s="5">
        <f>-2100000.00</f>
        <v>0.0</v>
      </c>
      <c r="K34" t="n" s="5">
        <f>J34</f>
        <v>0.0</v>
      </c>
      <c r="L34" t="n" s="5">
        <f>-2200000.00</f>
        <v>0.0</v>
      </c>
      <c r="M34" t="n" s="5">
        <f>L34</f>
        <v>0.0</v>
      </c>
      <c r="N34" t="n" s="5">
        <f>M34</f>
        <v>0.0</v>
      </c>
    </row>
    <row r="35">
      <c r="A35" t="s" s="3">
        <v>42</v>
      </c>
      <c r="B35" t="n" s="5">
        <f>-4969333.44</f>
        <v>0.0</v>
      </c>
      <c r="C35" t="n" s="5">
        <f>-5419333.44</f>
        <v>0.0</v>
      </c>
      <c r="D35" t="n" s="5">
        <f>-5844333.44</f>
        <v>0.0</v>
      </c>
      <c r="E35" t="n" s="5">
        <f>-6094333.44</f>
        <v>0.0</v>
      </c>
      <c r="F35" t="n" s="5">
        <f>-6694333.44</f>
        <v>0.0</v>
      </c>
      <c r="G35" t="n" s="5">
        <f>-7348676.04</f>
        <v>0.0</v>
      </c>
      <c r="H35" t="n" s="5">
        <f>-8135716.88</f>
        <v>0.0</v>
      </c>
      <c r="I35" t="n" s="5">
        <f>-8485716.88</f>
        <v>0.0</v>
      </c>
      <c r="J35" t="n" s="5">
        <f>-8635716.88</f>
        <v>0.0</v>
      </c>
      <c r="K35" t="n" s="5">
        <f>-9072757.72</f>
        <v>0.0</v>
      </c>
      <c r="L35" t="n" s="5">
        <f>K35</f>
        <v>0.0</v>
      </c>
      <c r="M35" t="n" s="5">
        <f>L35</f>
        <v>0.0</v>
      </c>
      <c r="N35" t="n" s="5">
        <f>M35</f>
        <v>0.0</v>
      </c>
    </row>
    <row r="36">
      <c r="A36" t="s" s="3">
        <v>43</v>
      </c>
      <c r="B36" t="n" s="6">
        <f>(((B32)+(B33))+(B34))+(B35)</f>
        <v>0.0</v>
      </c>
      <c r="C36" t="n" s="6">
        <f>(((C32)+(C33))+(C34))+(C35)</f>
        <v>0.0</v>
      </c>
      <c r="D36" t="n" s="6">
        <f>(((D32)+(D33))+(D34))+(D35)</f>
        <v>0.0</v>
      </c>
      <c r="E36" t="n" s="6">
        <f>(((E32)+(E33))+(E34))+(E35)</f>
        <v>0.0</v>
      </c>
      <c r="F36" t="n" s="6">
        <f>(((F32)+(F33))+(F34))+(F35)</f>
        <v>0.0</v>
      </c>
      <c r="G36" t="n" s="6">
        <f>(((G32)+(G33))+(G34))+(G35)</f>
        <v>0.0</v>
      </c>
      <c r="H36" t="n" s="6">
        <f>(((H32)+(H33))+(H34))+(H35)</f>
        <v>0.0</v>
      </c>
      <c r="I36" t="n" s="6">
        <f>(((I32)+(I33))+(I34))+(I35)</f>
        <v>0.0</v>
      </c>
      <c r="J36" t="n" s="6">
        <f>(((J32)+(J33))+(J34))+(J35)</f>
        <v>0.0</v>
      </c>
      <c r="K36" t="n" s="6">
        <f>(((K32)+(K33))+(K34))+(K35)</f>
        <v>0.0</v>
      </c>
      <c r="L36" t="n" s="6">
        <f>(((L32)+(L33))+(L34))+(L35)</f>
        <v>0.0</v>
      </c>
      <c r="M36" t="n" s="6">
        <f>(((M32)+(M33))+(M34))+(M35)</f>
        <v>0.0</v>
      </c>
      <c r="N36" t="n" s="6">
        <f>(((N32)+(N33))+(N34))+(N35)</f>
        <v>0.0</v>
      </c>
    </row>
    <row r="37">
      <c r="A37" t="s" s="3">
        <v>44</v>
      </c>
      <c r="B37" t="n" s="5">
        <f>0.00</f>
        <v>0.0</v>
      </c>
      <c r="C37" t="n" s="5">
        <f>B37</f>
        <v>0.0</v>
      </c>
      <c r="D37" t="n" s="5">
        <f>C37</f>
        <v>0.0</v>
      </c>
      <c r="E37" t="n" s="5">
        <f>D37</f>
        <v>0.0</v>
      </c>
      <c r="F37" t="n" s="5">
        <f>E37</f>
        <v>0.0</v>
      </c>
      <c r="G37" t="n" s="5">
        <f>F37</f>
        <v>0.0</v>
      </c>
      <c r="H37" t="n" s="5">
        <f>G37</f>
        <v>0.0</v>
      </c>
      <c r="I37" t="n" s="5">
        <f>H37</f>
        <v>0.0</v>
      </c>
      <c r="J37" t="n" s="5">
        <f>I37</f>
        <v>0.0</v>
      </c>
      <c r="K37" t="n" s="5">
        <f>J37</f>
        <v>0.0</v>
      </c>
      <c r="L37" t="n" s="5">
        <f>K37</f>
        <v>0.0</v>
      </c>
      <c r="M37" t="n" s="5">
        <f>L37</f>
        <v>0.0</v>
      </c>
      <c r="N37" t="n" s="5">
        <f>M37</f>
        <v>0.0</v>
      </c>
    </row>
    <row r="38">
      <c r="A38" t="s" s="3">
        <v>45</v>
      </c>
      <c r="B38" s="4"/>
      <c r="C38" t="n" s="5">
        <f>B38</f>
        <v>0.0</v>
      </c>
      <c r="D38" t="n" s="5">
        <f>C38</f>
        <v>0.0</v>
      </c>
      <c r="E38" t="n" s="5">
        <f>D38</f>
        <v>0.0</v>
      </c>
      <c r="F38" t="n" s="5">
        <f>E38</f>
        <v>0.0</v>
      </c>
      <c r="G38" t="n" s="5">
        <f>F38</f>
        <v>0.0</v>
      </c>
      <c r="H38" t="n" s="5">
        <f>G38</f>
        <v>0.0</v>
      </c>
      <c r="I38" t="n" s="5">
        <f>H38</f>
        <v>0.0</v>
      </c>
      <c r="J38" t="n" s="5">
        <f>I38</f>
        <v>0.0</v>
      </c>
      <c r="K38" t="n" s="5">
        <f>J38</f>
        <v>0.0</v>
      </c>
      <c r="L38" t="n" s="5">
        <f>K38</f>
        <v>0.0</v>
      </c>
      <c r="M38" t="n" s="5">
        <f>L38</f>
        <v>0.0</v>
      </c>
      <c r="N38" t="n" s="5">
        <f>20000.00</f>
        <v>0.0</v>
      </c>
    </row>
    <row r="39">
      <c r="A39" t="s" s="3">
        <v>46</v>
      </c>
      <c r="B39" s="4"/>
      <c r="C39" t="n" s="5">
        <f>B39</f>
        <v>0.0</v>
      </c>
      <c r="D39" t="n" s="5">
        <f>C39</f>
        <v>0.0</v>
      </c>
      <c r="E39" t="n" s="5">
        <f>D39</f>
        <v>0.0</v>
      </c>
      <c r="F39" t="n" s="5">
        <f>E39</f>
        <v>0.0</v>
      </c>
      <c r="G39" t="n" s="5">
        <f>F39</f>
        <v>0.0</v>
      </c>
      <c r="H39" t="n" s="5">
        <f>G39</f>
        <v>0.0</v>
      </c>
      <c r="I39" t="n" s="5">
        <f>H39</f>
        <v>0.0</v>
      </c>
      <c r="J39" t="n" s="5">
        <f>I39</f>
        <v>0.0</v>
      </c>
      <c r="K39" t="n" s="5">
        <f>5000.00</f>
        <v>0.0</v>
      </c>
      <c r="L39" t="n" s="5">
        <f>10000.00</f>
        <v>0.0</v>
      </c>
      <c r="M39" t="n" s="5">
        <f>15000.00</f>
        <v>0.0</v>
      </c>
      <c r="N39" t="n" s="5">
        <f>20000.00</f>
        <v>0.0</v>
      </c>
    </row>
    <row r="40">
      <c r="A40" t="s" s="3">
        <v>47</v>
      </c>
      <c r="B40" s="4"/>
      <c r="C40" t="n" s="5">
        <f>B40</f>
        <v>0.0</v>
      </c>
      <c r="D40" t="n" s="5">
        <f>C40</f>
        <v>0.0</v>
      </c>
      <c r="E40" t="n" s="5">
        <f>D40</f>
        <v>0.0</v>
      </c>
      <c r="F40" t="n" s="5">
        <f>E40</f>
        <v>0.0</v>
      </c>
      <c r="G40" t="n" s="5">
        <f>F40</f>
        <v>0.0</v>
      </c>
      <c r="H40" t="n" s="5">
        <f>G40</f>
        <v>0.0</v>
      </c>
      <c r="I40" t="n" s="5">
        <f>H40</f>
        <v>0.0</v>
      </c>
      <c r="J40" t="n" s="5">
        <f>I40</f>
        <v>0.0</v>
      </c>
      <c r="K40" t="n" s="5">
        <f>5000.00</f>
        <v>0.0</v>
      </c>
      <c r="L40" t="n" s="5">
        <f>K40</f>
        <v>0.0</v>
      </c>
      <c r="M40" t="n" s="5">
        <f>L40</f>
        <v>0.0</v>
      </c>
      <c r="N40" t="n" s="5">
        <f>15000.00</f>
        <v>0.0</v>
      </c>
    </row>
    <row r="41">
      <c r="A41" t="s" s="3">
        <v>48</v>
      </c>
      <c r="B41" s="4"/>
      <c r="C41" t="n" s="5">
        <f>B41</f>
        <v>0.0</v>
      </c>
      <c r="D41" t="n" s="5">
        <f>C41</f>
        <v>0.0</v>
      </c>
      <c r="E41" t="n" s="5">
        <f>D41</f>
        <v>0.0</v>
      </c>
      <c r="F41" t="n" s="5">
        <f>E41</f>
        <v>0.0</v>
      </c>
      <c r="G41" t="n" s="5">
        <f>F41</f>
        <v>0.0</v>
      </c>
      <c r="H41" t="n" s="5">
        <f>215250.00</f>
        <v>0.0</v>
      </c>
      <c r="I41" t="n" s="5">
        <f>174934.08</f>
        <v>0.0</v>
      </c>
      <c r="J41" t="n" s="5">
        <f>I41</f>
        <v>0.0</v>
      </c>
      <c r="K41" t="n" s="5">
        <f>179934.08</f>
        <v>0.0</v>
      </c>
      <c r="L41" t="n" s="5">
        <f>169934.08</f>
        <v>0.0</v>
      </c>
      <c r="M41" t="n" s="5">
        <f>174934.08</f>
        <v>0.0</v>
      </c>
      <c r="N41" t="n" s="5">
        <f>M41</f>
        <v>0.0</v>
      </c>
    </row>
    <row r="42">
      <c r="A42" t="s" s="3">
        <v>49</v>
      </c>
      <c r="B42" t="n" s="5">
        <f>68387.33</f>
        <v>0.0</v>
      </c>
      <c r="C42" t="n" s="5">
        <f>71801.33</f>
        <v>0.0</v>
      </c>
      <c r="D42" t="n" s="5">
        <f>79857.75</f>
        <v>0.0</v>
      </c>
      <c r="E42" t="n" s="5">
        <f>84364.43</f>
        <v>0.0</v>
      </c>
      <c r="F42" t="n" s="5">
        <f>91773.43</f>
        <v>0.0</v>
      </c>
      <c r="G42" t="n" s="5">
        <f>192760.35</f>
        <v>0.0</v>
      </c>
      <c r="H42" t="n" s="5">
        <f>192885.92</f>
        <v>0.0</v>
      </c>
      <c r="I42" t="n" s="5">
        <f>267921.66</f>
        <v>0.0</v>
      </c>
      <c r="J42" t="n" s="5">
        <f>327921.66</f>
        <v>0.0</v>
      </c>
      <c r="K42" t="n" s="5">
        <f>J42</f>
        <v>0.0</v>
      </c>
      <c r="L42" t="n" s="5">
        <f>427921.66</f>
        <v>0.0</v>
      </c>
      <c r="M42" t="n" s="5">
        <f>727921.66</f>
        <v>0.0</v>
      </c>
      <c r="N42" t="n" s="5">
        <f>M42</f>
        <v>0.0</v>
      </c>
    </row>
    <row r="43">
      <c r="A43" t="s" s="3">
        <v>50</v>
      </c>
      <c r="B43" t="n" s="5">
        <f>77500.00</f>
        <v>0.0</v>
      </c>
      <c r="C43" t="n" s="5">
        <f>82000.00</f>
        <v>0.0</v>
      </c>
      <c r="D43" t="n" s="5">
        <f>116500.00</f>
        <v>0.0</v>
      </c>
      <c r="E43" t="n" s="5">
        <f>121000.00</f>
        <v>0.0</v>
      </c>
      <c r="F43" t="n" s="5">
        <f>122500.00</f>
        <v>0.0</v>
      </c>
      <c r="G43" t="n" s="5">
        <f>127000.00</f>
        <v>0.0</v>
      </c>
      <c r="H43" t="n" s="5">
        <f>131500.00</f>
        <v>0.0</v>
      </c>
      <c r="I43" t="n" s="5">
        <f>136000.00</f>
        <v>0.0</v>
      </c>
      <c r="J43" t="n" s="5">
        <f>140500.00</f>
        <v>0.0</v>
      </c>
      <c r="K43" t="n" s="5">
        <f>145000.00</f>
        <v>0.0</v>
      </c>
      <c r="L43" t="n" s="5">
        <f>149500.00</f>
        <v>0.0</v>
      </c>
      <c r="M43" t="n" s="5">
        <f>154000.00</f>
        <v>0.0</v>
      </c>
      <c r="N43" t="n" s="5">
        <f>158500.00</f>
        <v>0.0</v>
      </c>
    </row>
    <row r="44">
      <c r="A44" t="s" s="3">
        <v>51</v>
      </c>
      <c r="B44" t="n" s="5">
        <f>0.00</f>
        <v>0.0</v>
      </c>
      <c r="C44" t="n" s="5">
        <f>B44</f>
        <v>0.0</v>
      </c>
      <c r="D44" t="n" s="5">
        <f>C44</f>
        <v>0.0</v>
      </c>
      <c r="E44" t="n" s="5">
        <f>D44</f>
        <v>0.0</v>
      </c>
      <c r="F44" t="n" s="5">
        <f>E44</f>
        <v>0.0</v>
      </c>
      <c r="G44" t="n" s="5">
        <f>F44</f>
        <v>0.0</v>
      </c>
      <c r="H44" t="n" s="5">
        <f>G44</f>
        <v>0.0</v>
      </c>
      <c r="I44" t="n" s="5">
        <f>H44</f>
        <v>0.0</v>
      </c>
      <c r="J44" t="n" s="5">
        <f>I44</f>
        <v>0.0</v>
      </c>
      <c r="K44" t="n" s="5">
        <f>J44</f>
        <v>0.0</v>
      </c>
      <c r="L44" t="n" s="5">
        <f>K44</f>
        <v>0.0</v>
      </c>
      <c r="M44" t="n" s="5">
        <f>L44</f>
        <v>0.0</v>
      </c>
      <c r="N44" t="n" s="5">
        <f>M44</f>
        <v>0.0</v>
      </c>
    </row>
    <row r="45">
      <c r="A45" t="s" s="3">
        <v>52</v>
      </c>
      <c r="B45" t="n" s="5">
        <f>0.00</f>
        <v>0.0</v>
      </c>
      <c r="C45" t="n" s="5">
        <f>B45</f>
        <v>0.0</v>
      </c>
      <c r="D45" t="n" s="5">
        <f>C45</f>
        <v>0.0</v>
      </c>
      <c r="E45" t="n" s="5">
        <f>D45</f>
        <v>0.0</v>
      </c>
      <c r="F45" t="n" s="5">
        <f>E45</f>
        <v>0.0</v>
      </c>
      <c r="G45" t="n" s="5">
        <f>F45</f>
        <v>0.0</v>
      </c>
      <c r="H45" t="n" s="5">
        <f>G45</f>
        <v>0.0</v>
      </c>
      <c r="I45" t="n" s="5">
        <f>H45</f>
        <v>0.0</v>
      </c>
      <c r="J45" t="n" s="5">
        <f>I45</f>
        <v>0.0</v>
      </c>
      <c r="K45" t="n" s="5">
        <f>J45</f>
        <v>0.0</v>
      </c>
      <c r="L45" t="n" s="5">
        <f>K45</f>
        <v>0.0</v>
      </c>
      <c r="M45" t="n" s="5">
        <f>L45</f>
        <v>0.0</v>
      </c>
      <c r="N45" t="n" s="5">
        <f>M45</f>
        <v>0.0</v>
      </c>
    </row>
    <row r="46">
      <c r="A46" t="s" s="3">
        <v>53</v>
      </c>
      <c r="B46" t="n" s="5">
        <f>1977.93</f>
        <v>0.0</v>
      </c>
      <c r="C46" t="n" s="5">
        <f>2030.92</f>
        <v>0.0</v>
      </c>
      <c r="D46" t="n" s="5">
        <f>C46</f>
        <v>0.0</v>
      </c>
      <c r="E46" t="n" s="5">
        <f>2784.82</f>
        <v>0.0</v>
      </c>
      <c r="F46" t="n" s="5">
        <f>E46</f>
        <v>0.0</v>
      </c>
      <c r="G46" t="n" s="5">
        <f>3142.42</f>
        <v>0.0</v>
      </c>
      <c r="H46" t="n" s="5">
        <f>4392.77</f>
        <v>0.0</v>
      </c>
      <c r="I46" t="n" s="5">
        <f>4787.72</f>
        <v>0.0</v>
      </c>
      <c r="J46" t="n" s="5">
        <f>5027.72</f>
        <v>0.0</v>
      </c>
      <c r="K46" t="n" s="5">
        <f>5387.70</f>
        <v>0.0</v>
      </c>
      <c r="L46" t="n" s="5">
        <f>5532.00</f>
        <v>0.0</v>
      </c>
      <c r="M46" t="n" s="5">
        <f>L46</f>
        <v>0.0</v>
      </c>
      <c r="N46" t="n" s="5">
        <f>5568.51</f>
        <v>0.0</v>
      </c>
    </row>
    <row r="47">
      <c r="A47" t="s" s="3">
        <v>54</v>
      </c>
      <c r="B47" t="n" s="5">
        <f>0.00</f>
        <v>0.0</v>
      </c>
      <c r="C47" t="n" s="5">
        <f>0.00</f>
        <v>0.0</v>
      </c>
      <c r="D47" t="n" s="5">
        <f>0.00</f>
        <v>0.0</v>
      </c>
      <c r="E47" t="n" s="5">
        <f>0.00</f>
        <v>0.0</v>
      </c>
      <c r="F47" t="n" s="5">
        <f>0.00</f>
        <v>0.0</v>
      </c>
      <c r="G47" t="n" s="5">
        <f>0.00</f>
        <v>0.0</v>
      </c>
      <c r="H47" t="n" s="5">
        <f>0.00</f>
        <v>0.0</v>
      </c>
      <c r="I47" t="n" s="5">
        <f>0.00</f>
        <v>0.0</v>
      </c>
      <c r="J47" t="n" s="5">
        <f>I47</f>
        <v>0.0</v>
      </c>
      <c r="K47" t="n" s="5">
        <f>0.00</f>
        <v>0.0</v>
      </c>
      <c r="L47" t="n" s="5">
        <f>0.00</f>
        <v>0.0</v>
      </c>
      <c r="M47" t="n" s="5">
        <f>0.00</f>
        <v>0.0</v>
      </c>
      <c r="N47" t="n" s="5">
        <f>0.00</f>
        <v>0.0</v>
      </c>
    </row>
    <row r="48">
      <c r="A48" t="s" s="3">
        <v>55</v>
      </c>
      <c r="B48" t="n" s="6">
        <f>(((((((((((((B30)+(B31))+(B36))+(B37))+(B38))+(B39))+(B40))+(B41))+(B42))+(B43))+(B44))+(B45))+(B46))+(B47)</f>
        <v>0.0</v>
      </c>
      <c r="C48" t="n" s="6">
        <f>(((((((((((((C30)+(C31))+(C36))+(C37))+(C38))+(C39))+(C40))+(C41))+(C42))+(C43))+(C44))+(C45))+(C46))+(C47)</f>
        <v>0.0</v>
      </c>
      <c r="D48" t="n" s="6">
        <f>(((((((((((((D30)+(D31))+(D36))+(D37))+(D38))+(D39))+(D40))+(D41))+(D42))+(D43))+(D44))+(D45))+(D46))+(D47)</f>
        <v>0.0</v>
      </c>
      <c r="E48" t="n" s="6">
        <f>(((((((((((((E30)+(E31))+(E36))+(E37))+(E38))+(E39))+(E40))+(E41))+(E42))+(E43))+(E44))+(E45))+(E46))+(E47)</f>
        <v>0.0</v>
      </c>
      <c r="F48" t="n" s="6">
        <f>(((((((((((((F30)+(F31))+(F36))+(F37))+(F38))+(F39))+(F40))+(F41))+(F42))+(F43))+(F44))+(F45))+(F46))+(F47)</f>
        <v>0.0</v>
      </c>
      <c r="G48" t="n" s="6">
        <f>(((((((((((((G30)+(G31))+(G36))+(G37))+(G38))+(G39))+(G40))+(G41))+(G42))+(G43))+(G44))+(G45))+(G46))+(G47)</f>
        <v>0.0</v>
      </c>
      <c r="H48" t="n" s="6">
        <f>(((((((((((((H30)+(H31))+(H36))+(H37))+(H38))+(H39))+(H40))+(H41))+(H42))+(H43))+(H44))+(H45))+(H46))+(H47)</f>
        <v>0.0</v>
      </c>
      <c r="I48" t="n" s="6">
        <f>(((((((((((((I30)+(I31))+(I36))+(I37))+(I38))+(I39))+(I40))+(I41))+(I42))+(I43))+(I44))+(I45))+(I46))+(I47)</f>
        <v>0.0</v>
      </c>
      <c r="J48" t="n" s="6">
        <f>(((((((((((((J30)+(J31))+(J36))+(J37))+(J38))+(J39))+(J40))+(J41))+(J42))+(J43))+(J44))+(J45))+(J46))+(J47)</f>
        <v>0.0</v>
      </c>
      <c r="K48" t="n" s="6">
        <f>(((((((((((((K30)+(K31))+(K36))+(K37))+(K38))+(K39))+(K40))+(K41))+(K42))+(K43))+(K44))+(K45))+(K46))+(K47)</f>
        <v>0.0</v>
      </c>
      <c r="L48" t="n" s="6">
        <f>(((((((((((((L30)+(L31))+(L36))+(L37))+(L38))+(L39))+(L40))+(L41))+(L42))+(L43))+(L44))+(L45))+(L46))+(L47)</f>
        <v>0.0</v>
      </c>
      <c r="M48" t="n" s="6">
        <f>(((((((((((((M30)+(M31))+(M36))+(M37))+(M38))+(M39))+(M40))+(M41))+(M42))+(M43))+(M44))+(M45))+(M46))+(M47)</f>
        <v>0.0</v>
      </c>
      <c r="N48" t="n" s="6">
        <f>(((((((((((((N30)+(N31))+(N36))+(N37))+(N38))+(N39))+(N40))+(N41))+(N42))+(N43))+(N44))+(N45))+(N46))+(N47)</f>
        <v>0.0</v>
      </c>
    </row>
    <row r="49">
      <c r="A49" t="s" s="3">
        <v>56</v>
      </c>
      <c r="B49" t="n" s="6">
        <f>((B24)+(B28))+(B48)</f>
        <v>0.0</v>
      </c>
      <c r="C49" t="n" s="6">
        <f>((C24)+(C28))+(C48)</f>
        <v>0.0</v>
      </c>
      <c r="D49" t="n" s="6">
        <f>((D24)+(D28))+(D48)</f>
        <v>0.0</v>
      </c>
      <c r="E49" t="n" s="6">
        <f>((E24)+(E28))+(E48)</f>
        <v>0.0</v>
      </c>
      <c r="F49" t="n" s="6">
        <f>((F24)+(F28))+(F48)</f>
        <v>0.0</v>
      </c>
      <c r="G49" t="n" s="6">
        <f>((G24)+(G28))+(G48)</f>
        <v>0.0</v>
      </c>
      <c r="H49" t="n" s="6">
        <f>((H24)+(H28))+(H48)</f>
        <v>0.0</v>
      </c>
      <c r="I49" t="n" s="6">
        <f>((I24)+(I28))+(I48)</f>
        <v>0.0</v>
      </c>
      <c r="J49" t="n" s="6">
        <f>((J24)+(J28))+(J48)</f>
        <v>0.0</v>
      </c>
      <c r="K49" t="n" s="6">
        <f>((K24)+(K28))+(K48)</f>
        <v>0.0</v>
      </c>
      <c r="L49" t="n" s="6">
        <f>((L24)+(L28))+(L48)</f>
        <v>0.0</v>
      </c>
      <c r="M49" t="n" s="6">
        <f>((M24)+(M28))+(M48)</f>
        <v>0.0</v>
      </c>
      <c r="N49" t="n" s="6">
        <f>((N24)+(N28))+(N48)</f>
        <v>0.0</v>
      </c>
    </row>
    <row r="50">
      <c r="A50" t="s" s="3">
        <v>57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>
      <c r="A51" t="s" s="3">
        <v>58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>
      <c r="A52" t="s" s="3">
        <v>59</v>
      </c>
      <c r="B52" t="n" s="5">
        <f>653137.36</f>
        <v>0.0</v>
      </c>
      <c r="C52" t="n" s="5">
        <f>593355.99</f>
        <v>0.0</v>
      </c>
      <c r="D52" t="n" s="5">
        <f>414156.08</f>
        <v>0.0</v>
      </c>
      <c r="E52" t="n" s="5">
        <f>987335.66</f>
        <v>0.0</v>
      </c>
      <c r="F52" t="n" s="5">
        <f>990615.79</f>
        <v>0.0</v>
      </c>
      <c r="G52" t="n" s="5">
        <f>940490.75</f>
        <v>0.0</v>
      </c>
      <c r="H52" t="n" s="5">
        <f>724563.33</f>
        <v>0.0</v>
      </c>
      <c r="I52" t="n" s="5">
        <f>749108.44</f>
        <v>0.0</v>
      </c>
      <c r="J52" t="n" s="5">
        <f>854056.52</f>
        <v>0.0</v>
      </c>
      <c r="K52" t="n" s="5">
        <f>674269.95</f>
        <v>0.0</v>
      </c>
      <c r="L52" t="n" s="5">
        <f>664361.87</f>
        <v>0.0</v>
      </c>
      <c r="M52" t="n" s="5">
        <f>778998.37</f>
        <v>0.0</v>
      </c>
      <c r="N52" t="n" s="5">
        <f>694226.56</f>
        <v>0.0</v>
      </c>
    </row>
    <row r="53">
      <c r="A53" t="s" s="3">
        <v>60</v>
      </c>
      <c r="B53" t="n" s="6">
        <f>B52</f>
        <v>0.0</v>
      </c>
      <c r="C53" t="n" s="6">
        <f>C52</f>
        <v>0.0</v>
      </c>
      <c r="D53" t="n" s="6">
        <f>D52</f>
        <v>0.0</v>
      </c>
      <c r="E53" t="n" s="6">
        <f>E52</f>
        <v>0.0</v>
      </c>
      <c r="F53" t="n" s="6">
        <f>F52</f>
        <v>0.0</v>
      </c>
      <c r="G53" t="n" s="6">
        <f>G52</f>
        <v>0.0</v>
      </c>
      <c r="H53" t="n" s="6">
        <f>H52</f>
        <v>0.0</v>
      </c>
      <c r="I53" t="n" s="6">
        <f>I52</f>
        <v>0.0</v>
      </c>
      <c r="J53" t="n" s="6">
        <f>J52</f>
        <v>0.0</v>
      </c>
      <c r="K53" t="n" s="6">
        <f>K52</f>
        <v>0.0</v>
      </c>
      <c r="L53" t="n" s="6">
        <f>L52</f>
        <v>0.0</v>
      </c>
      <c r="M53" t="n" s="6">
        <f>M52</f>
        <v>0.0</v>
      </c>
      <c r="N53" t="n" s="6">
        <f>N52</f>
        <v>0.0</v>
      </c>
    </row>
    <row r="54">
      <c r="A54" t="s" s="3">
        <v>61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>
      <c r="A55" t="s" s="3">
        <v>62</v>
      </c>
      <c r="B55" t="n" s="5">
        <f>403915.31</f>
        <v>0.0</v>
      </c>
      <c r="C55" t="n" s="5">
        <f>B55</f>
        <v>0.0</v>
      </c>
      <c r="D55" t="n" s="5">
        <f>C55</f>
        <v>0.0</v>
      </c>
      <c r="E55" t="n" s="5">
        <f>D55</f>
        <v>0.0</v>
      </c>
      <c r="F55" t="n" s="5">
        <f>E55</f>
        <v>0.0</v>
      </c>
      <c r="G55" t="n" s="5">
        <f>F55</f>
        <v>0.0</v>
      </c>
      <c r="H55" t="n" s="5">
        <f>G55</f>
        <v>0.0</v>
      </c>
      <c r="I55" t="n" s="5">
        <f>H55</f>
        <v>0.0</v>
      </c>
      <c r="J55" t="n" s="5">
        <f>I55</f>
        <v>0.0</v>
      </c>
      <c r="K55" t="n" s="5">
        <f>J55</f>
        <v>0.0</v>
      </c>
      <c r="L55" t="n" s="5">
        <f>K55</f>
        <v>0.0</v>
      </c>
      <c r="M55" t="n" s="5">
        <f>L55</f>
        <v>0.0</v>
      </c>
      <c r="N55" t="n" s="5">
        <f>M55</f>
        <v>0.0</v>
      </c>
    </row>
    <row r="56">
      <c r="A56" t="s" s="3">
        <v>63</v>
      </c>
      <c r="B56" t="n" s="5">
        <f>65740.88</f>
        <v>0.0</v>
      </c>
      <c r="C56" t="n" s="5">
        <f>B56</f>
        <v>0.0</v>
      </c>
      <c r="D56" t="n" s="5">
        <f>C56</f>
        <v>0.0</v>
      </c>
      <c r="E56" t="n" s="5">
        <f>D56</f>
        <v>0.0</v>
      </c>
      <c r="F56" t="n" s="5">
        <f>E56</f>
        <v>0.0</v>
      </c>
      <c r="G56" t="n" s="5">
        <f>F56</f>
        <v>0.0</v>
      </c>
      <c r="H56" t="n" s="5">
        <f>G56</f>
        <v>0.0</v>
      </c>
      <c r="I56" t="n" s="5">
        <f>H56</f>
        <v>0.0</v>
      </c>
      <c r="J56" t="n" s="5">
        <f>I56</f>
        <v>0.0</v>
      </c>
      <c r="K56" t="n" s="5">
        <f>J56</f>
        <v>0.0</v>
      </c>
      <c r="L56" t="n" s="5">
        <f>K56</f>
        <v>0.0</v>
      </c>
      <c r="M56" t="n" s="5">
        <f>L56</f>
        <v>0.0</v>
      </c>
      <c r="N56" t="n" s="5">
        <f>M56</f>
        <v>0.0</v>
      </c>
    </row>
    <row r="57">
      <c r="A57" t="s" s="3">
        <v>64</v>
      </c>
      <c r="B57" t="n" s="5">
        <f>21455.00</f>
        <v>0.0</v>
      </c>
      <c r="C57" t="n" s="5">
        <f>B57</f>
        <v>0.0</v>
      </c>
      <c r="D57" t="n" s="5">
        <f>C57</f>
        <v>0.0</v>
      </c>
      <c r="E57" t="n" s="5">
        <f>D57</f>
        <v>0.0</v>
      </c>
      <c r="F57" t="n" s="5">
        <f>E57</f>
        <v>0.0</v>
      </c>
      <c r="G57" t="n" s="5">
        <f>F57</f>
        <v>0.0</v>
      </c>
      <c r="H57" t="n" s="5">
        <f>G57</f>
        <v>0.0</v>
      </c>
      <c r="I57" t="n" s="5">
        <f>H57</f>
        <v>0.0</v>
      </c>
      <c r="J57" t="n" s="5">
        <f>I57</f>
        <v>0.0</v>
      </c>
      <c r="K57" t="n" s="5">
        <f>J57</f>
        <v>0.0</v>
      </c>
      <c r="L57" t="n" s="5">
        <f>K57</f>
        <v>0.0</v>
      </c>
      <c r="M57" t="n" s="5">
        <f>L57</f>
        <v>0.0</v>
      </c>
      <c r="N57" t="n" s="5">
        <f>M57</f>
        <v>0.0</v>
      </c>
    </row>
    <row r="58">
      <c r="A58" t="s" s="3">
        <v>65</v>
      </c>
      <c r="B58" s="4"/>
      <c r="C58" t="n" s="5">
        <f>B58</f>
        <v>0.0</v>
      </c>
      <c r="D58" t="n" s="5">
        <f>C58</f>
        <v>0.0</v>
      </c>
      <c r="E58" t="n" s="5">
        <f>D58</f>
        <v>0.0</v>
      </c>
      <c r="F58" t="n" s="5">
        <f>E58</f>
        <v>0.0</v>
      </c>
      <c r="G58" t="n" s="5">
        <f>F58</f>
        <v>0.0</v>
      </c>
      <c r="H58" t="n" s="5">
        <f>G58</f>
        <v>0.0</v>
      </c>
      <c r="I58" t="n" s="5">
        <f>H58</f>
        <v>0.0</v>
      </c>
      <c r="J58" t="n" s="5">
        <f>I58</f>
        <v>0.0</v>
      </c>
      <c r="K58" t="n" s="5">
        <f>J58</f>
        <v>0.0</v>
      </c>
      <c r="L58" t="n" s="5">
        <f>K58</f>
        <v>0.0</v>
      </c>
      <c r="M58" t="n" s="5">
        <f>250000.00</f>
        <v>0.0</v>
      </c>
      <c r="N58" t="n" s="5">
        <f>243820.70</f>
        <v>0.0</v>
      </c>
    </row>
    <row r="59">
      <c r="A59" t="s" s="3">
        <v>66</v>
      </c>
      <c r="B59" t="n" s="5">
        <f>198802.00</f>
        <v>0.0</v>
      </c>
      <c r="C59" t="n" s="5">
        <f>168017.33</f>
        <v>0.0</v>
      </c>
      <c r="D59" t="n" s="5">
        <f>145859.33</f>
        <v>0.0</v>
      </c>
      <c r="E59" t="n" s="5">
        <f>123941.33</f>
        <v>0.0</v>
      </c>
      <c r="F59" t="n" s="5">
        <f>80105.33</f>
        <v>0.0</v>
      </c>
      <c r="G59" t="n" s="5">
        <f>70105.33</f>
        <v>0.0</v>
      </c>
      <c r="H59" t="n" s="5">
        <f>60105.33</f>
        <v>0.0</v>
      </c>
      <c r="I59" t="n" s="5">
        <f>50105.33</f>
        <v>0.0</v>
      </c>
      <c r="J59" t="n" s="5">
        <f>40105.33</f>
        <v>0.0</v>
      </c>
      <c r="K59" t="n" s="5">
        <f>19266.33</f>
        <v>0.0</v>
      </c>
      <c r="L59" t="n" s="5">
        <f>-21330.67</f>
        <v>0.0</v>
      </c>
      <c r="M59" t="n" s="5">
        <f>L59</f>
        <v>0.0</v>
      </c>
      <c r="N59" t="n" s="5">
        <f>-28430.67</f>
        <v>0.0</v>
      </c>
    </row>
    <row r="60">
      <c r="A60" t="s" s="3">
        <v>67</v>
      </c>
      <c r="B60" s="4"/>
      <c r="C60" t="n" s="5">
        <f>B60</f>
        <v>0.0</v>
      </c>
      <c r="D60" t="n" s="5">
        <f>C60</f>
        <v>0.0</v>
      </c>
      <c r="E60" t="n" s="5">
        <f>D60</f>
        <v>0.0</v>
      </c>
      <c r="F60" t="n" s="5">
        <f>E60</f>
        <v>0.0</v>
      </c>
      <c r="G60" t="n" s="5">
        <f>F60</f>
        <v>0.0</v>
      </c>
      <c r="H60" t="n" s="5">
        <f>G60</f>
        <v>0.0</v>
      </c>
      <c r="I60" t="n" s="5">
        <f>H60</f>
        <v>0.0</v>
      </c>
      <c r="J60" t="n" s="5">
        <f>I60</f>
        <v>0.0</v>
      </c>
      <c r="K60" t="n" s="5">
        <f>J60</f>
        <v>0.0</v>
      </c>
      <c r="L60" t="n" s="5">
        <f>K60</f>
        <v>0.0</v>
      </c>
      <c r="M60" t="n" s="5">
        <f>250000.00</f>
        <v>0.0</v>
      </c>
      <c r="N60" t="n" s="5">
        <f>244189.64</f>
        <v>0.0</v>
      </c>
    </row>
    <row r="61">
      <c r="A61" t="s" s="3">
        <v>68</v>
      </c>
      <c r="B61" t="n" s="5">
        <f>-56.00</f>
        <v>0.0</v>
      </c>
      <c r="C61" t="n" s="5">
        <f>B61</f>
        <v>0.0</v>
      </c>
      <c r="D61" t="n" s="5">
        <f>C61</f>
        <v>0.0</v>
      </c>
      <c r="E61" t="n" s="5">
        <f>-56.00</f>
        <v>0.0</v>
      </c>
      <c r="F61" t="n" s="5">
        <f>-56.00</f>
        <v>0.0</v>
      </c>
      <c r="G61" t="n" s="5">
        <f>-56.00</f>
        <v>0.0</v>
      </c>
      <c r="H61" t="n" s="5">
        <f>-56.00</f>
        <v>0.0</v>
      </c>
      <c r="I61" t="n" s="5">
        <f>-408.17</f>
        <v>0.0</v>
      </c>
      <c r="J61" t="n" s="5">
        <f>-24430.41</f>
        <v>0.0</v>
      </c>
      <c r="K61" t="n" s="5">
        <f>-44113.62</f>
        <v>0.0</v>
      </c>
      <c r="L61" t="n" s="5">
        <f>-62656.16</f>
        <v>0.0</v>
      </c>
      <c r="M61" t="n" s="5">
        <f>-24306.81</f>
        <v>0.0</v>
      </c>
      <c r="N61" t="n" s="5">
        <f>-46633.19</f>
        <v>0.0</v>
      </c>
    </row>
    <row r="62">
      <c r="A62" t="s" s="3">
        <v>69</v>
      </c>
      <c r="B62" s="4"/>
      <c r="C62" t="n" s="5">
        <f>B62</f>
        <v>0.0</v>
      </c>
      <c r="D62" t="n" s="5">
        <f>C62</f>
        <v>0.0</v>
      </c>
      <c r="E62" t="n" s="5">
        <f>D62</f>
        <v>0.0</v>
      </c>
      <c r="F62" t="n" s="5">
        <f>E62</f>
        <v>0.0</v>
      </c>
      <c r="G62" t="n" s="5">
        <f>F62</f>
        <v>0.0</v>
      </c>
      <c r="H62" t="n" s="5">
        <f>G62</f>
        <v>0.0</v>
      </c>
      <c r="I62" t="n" s="5">
        <f>H62</f>
        <v>0.0</v>
      </c>
      <c r="J62" t="n" s="5">
        <f>I62</f>
        <v>0.0</v>
      </c>
      <c r="K62" t="n" s="5">
        <f>J62</f>
        <v>0.0</v>
      </c>
      <c r="L62" t="n" s="5">
        <f>K62</f>
        <v>0.0</v>
      </c>
      <c r="M62" t="n" s="5">
        <f>-1414.35</f>
        <v>0.0</v>
      </c>
      <c r="N62" t="n" s="5">
        <f>M62</f>
        <v>0.0</v>
      </c>
    </row>
    <row r="63">
      <c r="A63" t="s" s="3">
        <v>70</v>
      </c>
      <c r="B63" t="n" s="6">
        <f>(((((((B55)+(B56))+(B57))+(B58))+(B59))+(B60))+(B61))+(B62)</f>
        <v>0.0</v>
      </c>
      <c r="C63" t="n" s="6">
        <f>(((((((C55)+(C56))+(C57))+(C58))+(C59))+(C60))+(C61))+(C62)</f>
        <v>0.0</v>
      </c>
      <c r="D63" t="n" s="6">
        <f>(((((((D55)+(D56))+(D57))+(D58))+(D59))+(D60))+(D61))+(D62)</f>
        <v>0.0</v>
      </c>
      <c r="E63" t="n" s="6">
        <f>(((((((E55)+(E56))+(E57))+(E58))+(E59))+(E60))+(E61))+(E62)</f>
        <v>0.0</v>
      </c>
      <c r="F63" t="n" s="6">
        <f>(((((((F55)+(F56))+(F57))+(F58))+(F59))+(F60))+(F61))+(F62)</f>
        <v>0.0</v>
      </c>
      <c r="G63" t="n" s="6">
        <f>(((((((G55)+(G56))+(G57))+(G58))+(G59))+(G60))+(G61))+(G62)</f>
        <v>0.0</v>
      </c>
      <c r="H63" t="n" s="6">
        <f>(((((((H55)+(H56))+(H57))+(H58))+(H59))+(H60))+(H61))+(H62)</f>
        <v>0.0</v>
      </c>
      <c r="I63" t="n" s="6">
        <f>(((((((I55)+(I56))+(I57))+(I58))+(I59))+(I60))+(I61))+(I62)</f>
        <v>0.0</v>
      </c>
      <c r="J63" t="n" s="6">
        <f>(((((((J55)+(J56))+(J57))+(J58))+(J59))+(J60))+(J61))+(J62)</f>
        <v>0.0</v>
      </c>
      <c r="K63" t="n" s="6">
        <f>(((((((K55)+(K56))+(K57))+(K58))+(K59))+(K60))+(K61))+(K62)</f>
        <v>0.0</v>
      </c>
      <c r="L63" t="n" s="6">
        <f>(((((((L55)+(L56))+(L57))+(L58))+(L59))+(L60))+(L61))+(L62)</f>
        <v>0.0</v>
      </c>
      <c r="M63" t="n" s="6">
        <f>(((((((M55)+(M56))+(M57))+(M58))+(M59))+(M60))+(M61))+(M62)</f>
        <v>0.0</v>
      </c>
      <c r="N63" t="n" s="6">
        <f>(((((((N55)+(N56))+(N57))+(N58))+(N59))+(N60))+(N61))+(N62)</f>
        <v>0.0</v>
      </c>
    </row>
    <row r="64">
      <c r="A64" t="s" s="3">
        <v>71</v>
      </c>
      <c r="B64" t="n" s="6">
        <f>(B53)+(B63)</f>
        <v>0.0</v>
      </c>
      <c r="C64" t="n" s="6">
        <f>(C53)+(C63)</f>
        <v>0.0</v>
      </c>
      <c r="D64" t="n" s="6">
        <f>(D53)+(D63)</f>
        <v>0.0</v>
      </c>
      <c r="E64" t="n" s="6">
        <f>(E53)+(E63)</f>
        <v>0.0</v>
      </c>
      <c r="F64" t="n" s="6">
        <f>(F53)+(F63)</f>
        <v>0.0</v>
      </c>
      <c r="G64" t="n" s="6">
        <f>(G53)+(G63)</f>
        <v>0.0</v>
      </c>
      <c r="H64" t="n" s="6">
        <f>(H53)+(H63)</f>
        <v>0.0</v>
      </c>
      <c r="I64" t="n" s="6">
        <f>(I53)+(I63)</f>
        <v>0.0</v>
      </c>
      <c r="J64" t="n" s="6">
        <f>(J53)+(J63)</f>
        <v>0.0</v>
      </c>
      <c r="K64" t="n" s="6">
        <f>(K53)+(K63)</f>
        <v>0.0</v>
      </c>
      <c r="L64" t="n" s="6">
        <f>(L53)+(L63)</f>
        <v>0.0</v>
      </c>
      <c r="M64" t="n" s="6">
        <f>(M53)+(M63)</f>
        <v>0.0</v>
      </c>
      <c r="N64" t="n" s="6">
        <f>(N53)+(N63)</f>
        <v>0.0</v>
      </c>
    </row>
    <row r="65">
      <c r="A65" t="s" s="3">
        <v>72</v>
      </c>
      <c r="B65" t="n" s="6">
        <f>((B49)+(0))-(B64)</f>
        <v>0.0</v>
      </c>
      <c r="C65" t="n" s="6">
        <f>((C49)+(0))-(C64)</f>
        <v>0.0</v>
      </c>
      <c r="D65" t="n" s="6">
        <f>((D49)+(0))-(D64)</f>
        <v>0.0</v>
      </c>
      <c r="E65" t="n" s="6">
        <f>((E49)+(0))-(E64)</f>
        <v>0.0</v>
      </c>
      <c r="F65" t="n" s="6">
        <f>((F49)+(0))-(F64)</f>
        <v>0.0</v>
      </c>
      <c r="G65" t="n" s="6">
        <f>((G49)+(0))-(G64)</f>
        <v>0.0</v>
      </c>
      <c r="H65" t="n" s="6">
        <f>((H49)+(0))-(H64)</f>
        <v>0.0</v>
      </c>
      <c r="I65" t="n" s="6">
        <f>((I49)+(0))-(I64)</f>
        <v>0.0</v>
      </c>
      <c r="J65" t="n" s="6">
        <f>((J49)+(0))-(J64)</f>
        <v>0.0</v>
      </c>
      <c r="K65" t="n" s="6">
        <f>((K49)+(0))-(K64)</f>
        <v>0.0</v>
      </c>
      <c r="L65" t="n" s="6">
        <f>((L49)+(0))-(L64)</f>
        <v>0.0</v>
      </c>
      <c r="M65" t="n" s="6">
        <f>((M49)+(0))-(M64)</f>
        <v>0.0</v>
      </c>
      <c r="N65" t="n" s="6">
        <f>((N49)+(0))-(N64)</f>
        <v>0.0</v>
      </c>
    </row>
    <row r="66">
      <c r="A66" t="s" s="3">
        <v>73</v>
      </c>
      <c r="B66" t="n" s="6">
        <f>((0)+(B13))+(B65)</f>
        <v>0.0</v>
      </c>
      <c r="C66" t="n" s="6">
        <f>((0)+(C13))+(C65)</f>
        <v>0.0</v>
      </c>
      <c r="D66" t="n" s="6">
        <f>((0)+(D13))+(D65)</f>
        <v>0.0</v>
      </c>
      <c r="E66" t="n" s="6">
        <f>((0)+(E13))+(E65)</f>
        <v>0.0</v>
      </c>
      <c r="F66" t="n" s="6">
        <f>((0)+(F13))+(F65)</f>
        <v>0.0</v>
      </c>
      <c r="G66" t="n" s="6">
        <f>((0)+(G13))+(G65)</f>
        <v>0.0</v>
      </c>
      <c r="H66" t="n" s="6">
        <f>((0)+(H13))+(H65)</f>
        <v>0.0</v>
      </c>
      <c r="I66" t="n" s="6">
        <f>((0)+(I13))+(I65)</f>
        <v>0.0</v>
      </c>
      <c r="J66" t="n" s="6">
        <f>((0)+(J13))+(J65)</f>
        <v>0.0</v>
      </c>
      <c r="K66" t="n" s="6">
        <f>((0)+(K13))+(K65)</f>
        <v>0.0</v>
      </c>
      <c r="L66" t="n" s="6">
        <f>((0)+(L13))+(L65)</f>
        <v>0.0</v>
      </c>
      <c r="M66" t="n" s="6">
        <f>((0)+(M13))+(M65)</f>
        <v>0.0</v>
      </c>
      <c r="N66" t="n" s="6">
        <f>((0)+(N13))+(N65)</f>
        <v>0.0</v>
      </c>
    </row>
    <row r="67">
      <c r="A67" t="s" s="3">
        <v>74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t="s" s="3">
        <v>75</v>
      </c>
      <c r="B68" t="n" s="5">
        <f>0.00</f>
        <v>0.0</v>
      </c>
      <c r="C68" t="n" s="5">
        <f>B68</f>
        <v>0.0</v>
      </c>
      <c r="D68" t="n" s="5">
        <f>C68</f>
        <v>0.0</v>
      </c>
      <c r="E68" t="n" s="5">
        <f>D68</f>
        <v>0.0</v>
      </c>
      <c r="F68" t="n" s="5">
        <f>E68</f>
        <v>0.0</v>
      </c>
      <c r="G68" t="n" s="5">
        <f>F68</f>
        <v>0.0</v>
      </c>
      <c r="H68" t="n" s="5">
        <f>G68</f>
        <v>0.0</v>
      </c>
      <c r="I68" t="n" s="5">
        <f>H68</f>
        <v>0.0</v>
      </c>
      <c r="J68" t="n" s="5">
        <f>I68</f>
        <v>0.0</v>
      </c>
      <c r="K68" t="n" s="5">
        <f>J68</f>
        <v>0.0</v>
      </c>
      <c r="L68" t="n" s="5">
        <f>K68</f>
        <v>0.0</v>
      </c>
      <c r="M68" t="n" s="5">
        <f>L68</f>
        <v>0.0</v>
      </c>
      <c r="N68" t="n" s="5">
        <f>M68</f>
        <v>0.0</v>
      </c>
    </row>
    <row r="69">
      <c r="A69" t="s" s="3">
        <v>76</v>
      </c>
      <c r="B69" t="n" s="5">
        <f>-76500.00</f>
        <v>0.0</v>
      </c>
      <c r="C69" t="n" s="5">
        <f>-84000.00</f>
        <v>0.0</v>
      </c>
      <c r="D69" t="n" s="5">
        <f>-91500.00</f>
        <v>0.0</v>
      </c>
      <c r="E69" t="n" s="5">
        <f>-99000.00</f>
        <v>0.0</v>
      </c>
      <c r="F69" t="n" s="5">
        <f>-106500.00</f>
        <v>0.0</v>
      </c>
      <c r="G69" t="n" s="5">
        <f>-114000.00</f>
        <v>0.0</v>
      </c>
      <c r="H69" t="n" s="5">
        <f>-121500.00</f>
        <v>0.0</v>
      </c>
      <c r="I69" t="n" s="5">
        <f>-129000.00</f>
        <v>0.0</v>
      </c>
      <c r="J69" t="n" s="5">
        <f>-136500.00</f>
        <v>0.0</v>
      </c>
      <c r="K69" t="n" s="5">
        <f>-172000.00</f>
        <v>0.0</v>
      </c>
      <c r="L69" t="n" s="5">
        <f>-207500.00</f>
        <v>0.0</v>
      </c>
      <c r="M69" t="n" s="5">
        <f>-243000.00</f>
        <v>0.0</v>
      </c>
      <c r="N69" t="n" s="5">
        <f>-271400.00</f>
        <v>0.0</v>
      </c>
    </row>
    <row r="70">
      <c r="A70" t="s" s="3">
        <v>77</v>
      </c>
      <c r="B70" t="n" s="6">
        <f>(B68)+(B69)</f>
        <v>0.0</v>
      </c>
      <c r="C70" t="n" s="6">
        <f>(C68)+(C69)</f>
        <v>0.0</v>
      </c>
      <c r="D70" t="n" s="6">
        <f>(D68)+(D69)</f>
        <v>0.0</v>
      </c>
      <c r="E70" t="n" s="6">
        <f>(E68)+(E69)</f>
        <v>0.0</v>
      </c>
      <c r="F70" t="n" s="6">
        <f>(F68)+(F69)</f>
        <v>0.0</v>
      </c>
      <c r="G70" t="n" s="6">
        <f>(G68)+(G69)</f>
        <v>0.0</v>
      </c>
      <c r="H70" t="n" s="6">
        <f>(H68)+(H69)</f>
        <v>0.0</v>
      </c>
      <c r="I70" t="n" s="6">
        <f>(I68)+(I69)</f>
        <v>0.0</v>
      </c>
      <c r="J70" t="n" s="6">
        <f>(J68)+(J69)</f>
        <v>0.0</v>
      </c>
      <c r="K70" t="n" s="6">
        <f>(K68)+(K69)</f>
        <v>0.0</v>
      </c>
      <c r="L70" t="n" s="6">
        <f>(L68)+(L69)</f>
        <v>0.0</v>
      </c>
      <c r="M70" t="n" s="6">
        <f>(M68)+(M69)</f>
        <v>0.0</v>
      </c>
      <c r="N70" t="n" s="6">
        <f>(N68)+(N69)</f>
        <v>0.0</v>
      </c>
    </row>
    <row r="71">
      <c r="A71" t="s" s="3">
        <v>78</v>
      </c>
      <c r="B71" t="n" s="7">
        <f>(((B66)-(0))-(0))-(B70)</f>
        <v>0.0</v>
      </c>
      <c r="C71" t="n" s="7">
        <f>(((C66)-(0))-(0))-(C70)</f>
        <v>0.0</v>
      </c>
      <c r="D71" t="n" s="7">
        <f>(((D66)-(0))-(0))-(D70)</f>
        <v>0.0</v>
      </c>
      <c r="E71" t="n" s="7">
        <f>(((E66)-(0))-(0))-(E70)</f>
        <v>0.0</v>
      </c>
      <c r="F71" t="n" s="7">
        <f>(((F66)-(0))-(0))-(F70)</f>
        <v>0.0</v>
      </c>
      <c r="G71" t="n" s="7">
        <f>(((G66)-(0))-(0))-(G70)</f>
        <v>0.0</v>
      </c>
      <c r="H71" t="n" s="7">
        <f>(((H66)-(0))-(0))-(H70)</f>
        <v>0.0</v>
      </c>
      <c r="I71" t="n" s="7">
        <f>(((I66)-(0))-(0))-(I70)</f>
        <v>0.0</v>
      </c>
      <c r="J71" t="n" s="7">
        <f>(((J66)-(0))-(0))-(J70)</f>
        <v>0.0</v>
      </c>
      <c r="K71" t="n" s="7">
        <f>(((K66)-(0))-(0))-(K70)</f>
        <v>0.0</v>
      </c>
      <c r="L71" t="n" s="7">
        <f>(((L66)-(0))-(0))-(L70)</f>
        <v>0.0</v>
      </c>
      <c r="M71" t="n" s="7">
        <f>(((M66)-(0))-(0))-(M70)</f>
        <v>0.0</v>
      </c>
      <c r="N71" t="n" s="7">
        <f>(((N66)-(0))-(0))-(N70)</f>
        <v>0.0</v>
      </c>
    </row>
    <row r="72">
      <c r="A72" t="s" s="3">
        <v>79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>
      <c r="A73" t="s" s="3">
        <v>80</v>
      </c>
      <c r="B73" t="n" s="5">
        <f>0.00</f>
        <v>0.0</v>
      </c>
      <c r="C73" t="n" s="5">
        <f>B73</f>
        <v>0.0</v>
      </c>
      <c r="D73" t="n" s="5">
        <f>C73</f>
        <v>0.0</v>
      </c>
      <c r="E73" t="n" s="5">
        <f>D73</f>
        <v>0.0</v>
      </c>
      <c r="F73" t="n" s="5">
        <f>E73</f>
        <v>0.0</v>
      </c>
      <c r="G73" t="n" s="5">
        <f>F73</f>
        <v>0.0</v>
      </c>
      <c r="H73" t="n" s="5">
        <f>G73</f>
        <v>0.0</v>
      </c>
      <c r="I73" t="n" s="5">
        <f>H73</f>
        <v>0.0</v>
      </c>
      <c r="J73" t="n" s="5">
        <f>I73</f>
        <v>0.0</v>
      </c>
      <c r="K73" t="n" s="5">
        <f>J73</f>
        <v>0.0</v>
      </c>
      <c r="L73" t="n" s="5">
        <f>K73</f>
        <v>0.0</v>
      </c>
      <c r="M73" t="n" s="5">
        <f>L73</f>
        <v>0.0</v>
      </c>
      <c r="N73" t="n" s="5">
        <f>M73</f>
        <v>0.0</v>
      </c>
    </row>
    <row r="74">
      <c r="A74" t="s" s="3">
        <v>81</v>
      </c>
      <c r="B74" t="n" s="5">
        <f>0.00</f>
        <v>0.0</v>
      </c>
      <c r="C74" t="n" s="5">
        <f>B74</f>
        <v>0.0</v>
      </c>
      <c r="D74" t="n" s="5">
        <f>C74</f>
        <v>0.0</v>
      </c>
      <c r="E74" t="n" s="5">
        <f>D74</f>
        <v>0.0</v>
      </c>
      <c r="F74" t="n" s="5">
        <f>E74</f>
        <v>0.0</v>
      </c>
      <c r="G74" t="n" s="5">
        <f>F74</f>
        <v>0.0</v>
      </c>
      <c r="H74" t="n" s="5">
        <f>G74</f>
        <v>0.0</v>
      </c>
      <c r="I74" t="n" s="5">
        <f>H74</f>
        <v>0.0</v>
      </c>
      <c r="J74" t="n" s="5">
        <f>I74</f>
        <v>0.0</v>
      </c>
      <c r="K74" t="n" s="5">
        <f>J74</f>
        <v>0.0</v>
      </c>
      <c r="L74" t="n" s="5">
        <f>K74</f>
        <v>0.0</v>
      </c>
      <c r="M74" t="n" s="5">
        <f>L74</f>
        <v>0.0</v>
      </c>
      <c r="N74" t="n" s="5">
        <f>M74</f>
        <v>0.0</v>
      </c>
    </row>
    <row r="75">
      <c r="A75" t="s" s="3">
        <v>82</v>
      </c>
      <c r="B75" t="n" s="5">
        <f>0.00</f>
        <v>0.0</v>
      </c>
      <c r="C75" t="n" s="5">
        <f>B75</f>
        <v>0.0</v>
      </c>
      <c r="D75" t="n" s="5">
        <f>C75</f>
        <v>0.0</v>
      </c>
      <c r="E75" t="n" s="5">
        <f>D75</f>
        <v>0.0</v>
      </c>
      <c r="F75" t="n" s="5">
        <f>E75</f>
        <v>0.0</v>
      </c>
      <c r="G75" t="n" s="5">
        <f>F75</f>
        <v>0.0</v>
      </c>
      <c r="H75" t="n" s="5">
        <f>G75</f>
        <v>0.0</v>
      </c>
      <c r="I75" t="n" s="5">
        <f>H75</f>
        <v>0.0</v>
      </c>
      <c r="J75" t="n" s="5">
        <f>I75</f>
        <v>0.0</v>
      </c>
      <c r="K75" t="n" s="5">
        <f>J75</f>
        <v>0.0</v>
      </c>
      <c r="L75" t="n" s="5">
        <f>K75</f>
        <v>0.0</v>
      </c>
      <c r="M75" t="n" s="5">
        <f>L75</f>
        <v>0.0</v>
      </c>
      <c r="N75" t="n" s="5">
        <f>M75</f>
        <v>0.0</v>
      </c>
    </row>
    <row r="76">
      <c r="A76" t="s" s="3">
        <v>83</v>
      </c>
      <c r="B76" t="n" s="5">
        <f>0.00</f>
        <v>0.0</v>
      </c>
      <c r="C76" t="n" s="5">
        <f>B76</f>
        <v>0.0</v>
      </c>
      <c r="D76" t="n" s="5">
        <f>C76</f>
        <v>0.0</v>
      </c>
      <c r="E76" t="n" s="5">
        <f>D76</f>
        <v>0.0</v>
      </c>
      <c r="F76" t="n" s="5">
        <f>E76</f>
        <v>0.0</v>
      </c>
      <c r="G76" t="n" s="5">
        <f>F76</f>
        <v>0.0</v>
      </c>
      <c r="H76" t="n" s="5">
        <f>G76</f>
        <v>0.0</v>
      </c>
      <c r="I76" t="n" s="5">
        <f>H76</f>
        <v>0.0</v>
      </c>
      <c r="J76" t="n" s="5">
        <f>I76</f>
        <v>0.0</v>
      </c>
      <c r="K76" t="n" s="5">
        <f>J76</f>
        <v>0.0</v>
      </c>
      <c r="L76" t="n" s="5">
        <f>K76</f>
        <v>0.0</v>
      </c>
      <c r="M76" t="n" s="5">
        <f>L76</f>
        <v>0.0</v>
      </c>
      <c r="N76" t="n" s="5">
        <f>M76</f>
        <v>0.0</v>
      </c>
    </row>
    <row r="77">
      <c r="A77" t="s" s="3">
        <v>84</v>
      </c>
      <c r="B77" t="n" s="5">
        <f>0.00</f>
        <v>0.0</v>
      </c>
      <c r="C77" t="n" s="5">
        <f>B77</f>
        <v>0.0</v>
      </c>
      <c r="D77" t="n" s="5">
        <f>C77</f>
        <v>0.0</v>
      </c>
      <c r="E77" t="n" s="5">
        <f>D77</f>
        <v>0.0</v>
      </c>
      <c r="F77" t="n" s="5">
        <f>E77</f>
        <v>0.0</v>
      </c>
      <c r="G77" t="n" s="5">
        <f>F77</f>
        <v>0.0</v>
      </c>
      <c r="H77" t="n" s="5">
        <f>G77</f>
        <v>0.0</v>
      </c>
      <c r="I77" t="n" s="5">
        <f>H77</f>
        <v>0.0</v>
      </c>
      <c r="J77" t="n" s="5">
        <f>I77</f>
        <v>0.0</v>
      </c>
      <c r="K77" t="n" s="5">
        <f>J77</f>
        <v>0.0</v>
      </c>
      <c r="L77" t="n" s="5">
        <f>K77</f>
        <v>0.0</v>
      </c>
      <c r="M77" t="n" s="5">
        <f>L77</f>
        <v>0.0</v>
      </c>
      <c r="N77" t="n" s="5">
        <f>M77</f>
        <v>0.0</v>
      </c>
    </row>
    <row r="78">
      <c r="A78" t="s" s="3">
        <v>85</v>
      </c>
      <c r="B78" t="n" s="5">
        <f>0.00</f>
        <v>0.0</v>
      </c>
      <c r="C78" t="n" s="5">
        <f>B78</f>
        <v>0.0</v>
      </c>
      <c r="D78" t="n" s="5">
        <f>C78</f>
        <v>0.0</v>
      </c>
      <c r="E78" t="n" s="5">
        <f>D78</f>
        <v>0.0</v>
      </c>
      <c r="F78" t="n" s="5">
        <f>E78</f>
        <v>0.0</v>
      </c>
      <c r="G78" t="n" s="5">
        <f>F78</f>
        <v>0.0</v>
      </c>
      <c r="H78" t="n" s="5">
        <f>G78</f>
        <v>0.0</v>
      </c>
      <c r="I78" t="n" s="5">
        <f>H78</f>
        <v>0.0</v>
      </c>
      <c r="J78" t="n" s="5">
        <f>I78</f>
        <v>0.0</v>
      </c>
      <c r="K78" t="n" s="5">
        <f>J78</f>
        <v>0.0</v>
      </c>
      <c r="L78" t="n" s="5">
        <f>K78</f>
        <v>0.0</v>
      </c>
      <c r="M78" t="n" s="5">
        <f>L78</f>
        <v>0.0</v>
      </c>
      <c r="N78" t="n" s="5">
        <f>M78</f>
        <v>0.0</v>
      </c>
    </row>
    <row r="79">
      <c r="A79" t="s" s="3">
        <v>86</v>
      </c>
      <c r="B79" t="n" s="5">
        <f>739.00</f>
        <v>0.0</v>
      </c>
      <c r="C79" t="n" s="5">
        <f>B79</f>
        <v>0.0</v>
      </c>
      <c r="D79" t="n" s="5">
        <f>C79</f>
        <v>0.0</v>
      </c>
      <c r="E79" t="n" s="5">
        <f>D79</f>
        <v>0.0</v>
      </c>
      <c r="F79" t="n" s="5">
        <f>E79</f>
        <v>0.0</v>
      </c>
      <c r="G79" t="n" s="5">
        <f>F79</f>
        <v>0.0</v>
      </c>
      <c r="H79" t="n" s="5">
        <f>G79</f>
        <v>0.0</v>
      </c>
      <c r="I79" t="n" s="5">
        <f>H79</f>
        <v>0.0</v>
      </c>
      <c r="J79" t="n" s="5">
        <f>I79</f>
        <v>0.0</v>
      </c>
      <c r="K79" t="n" s="5">
        <f>J79</f>
        <v>0.0</v>
      </c>
      <c r="L79" t="n" s="5">
        <f>K79</f>
        <v>0.0</v>
      </c>
      <c r="M79" t="n" s="5">
        <f>L79</f>
        <v>0.0</v>
      </c>
      <c r="N79" t="n" s="5">
        <f>M79</f>
        <v>0.0</v>
      </c>
    </row>
    <row r="80">
      <c r="A80" t="s" s="3">
        <v>87</v>
      </c>
      <c r="B80" t="n" s="5">
        <f>728306.20</f>
        <v>0.0</v>
      </c>
      <c r="C80" t="n" s="5">
        <f>B80</f>
        <v>0.0</v>
      </c>
      <c r="D80" t="n" s="5">
        <f>C80</f>
        <v>0.0</v>
      </c>
      <c r="E80" t="n" s="5">
        <f>(D80)+(D81)</f>
        <v>0.0</v>
      </c>
      <c r="F80" t="n" s="5">
        <f>E80</f>
        <v>0.0</v>
      </c>
      <c r="G80" t="n" s="5">
        <f>F80</f>
        <v>0.0</v>
      </c>
      <c r="H80" t="n" s="5">
        <f>G80</f>
        <v>0.0</v>
      </c>
      <c r="I80" t="n" s="5">
        <f>H80</f>
        <v>0.0</v>
      </c>
      <c r="J80" t="n" s="5">
        <f>I80</f>
        <v>0.0</v>
      </c>
      <c r="K80" t="n" s="5">
        <f>J80</f>
        <v>0.0</v>
      </c>
      <c r="L80" t="n" s="5">
        <f>K80</f>
        <v>0.0</v>
      </c>
      <c r="M80" t="n" s="5">
        <f>L80</f>
        <v>0.0</v>
      </c>
      <c r="N80" t="n" s="5">
        <f>M80</f>
        <v>0.0</v>
      </c>
    </row>
    <row r="81">
      <c r="A81" t="s" s="3">
        <v>88</v>
      </c>
      <c r="B81" t="n" s="5">
        <f>-4833509.09</f>
        <v>0.0</v>
      </c>
      <c r="C81" t="n" s="5">
        <f>-5412315.39</f>
        <v>0.0</v>
      </c>
      <c r="D81" t="n" s="5">
        <f>-5879837.73</f>
        <v>0.0</v>
      </c>
      <c r="E81" t="n" s="5">
        <f>-1161935.73</f>
        <v>0.0</v>
      </c>
      <c r="F81" t="n" s="5">
        <f>-1653313.25</f>
        <v>0.0</v>
      </c>
      <c r="G81" t="n" s="5">
        <f>-2215900.95</f>
        <v>0.0</v>
      </c>
      <c r="H81" t="n" s="5">
        <f>-2667738.93</f>
        <v>0.0</v>
      </c>
      <c r="I81" t="n" s="5">
        <f>-3180588.78</f>
        <v>0.0</v>
      </c>
      <c r="J81" t="n" s="5">
        <f>-3680174.77</f>
        <v>0.0</v>
      </c>
      <c r="K81" t="n" s="5">
        <f>-3557648.41</f>
        <v>0.0</v>
      </c>
      <c r="L81" t="n" s="5">
        <f>-3471632.99</f>
        <v>0.0</v>
      </c>
      <c r="M81" t="n" s="5">
        <f>-3540079.52</f>
        <v>0.0</v>
      </c>
      <c r="N81" t="n" s="5">
        <f>-3385420.93</f>
        <v>0.0</v>
      </c>
    </row>
    <row r="82">
      <c r="A82" t="s" s="3">
        <v>89</v>
      </c>
      <c r="B82" t="n" s="7">
        <f>((((((((B73)+(B74))+(B75))+(B76))+(B77))+(B78))+(B79))+(B80))+(B81)</f>
        <v>0.0</v>
      </c>
      <c r="C82" t="n" s="7">
        <f>((((((((C73)+(C74))+(C75))+(C76))+(C77))+(C78))+(C79))+(C80))+(C81)</f>
        <v>0.0</v>
      </c>
      <c r="D82" t="n" s="7">
        <f>((((((((D73)+(D74))+(D75))+(D76))+(D77))+(D78))+(D79))+(D80))+(D81)</f>
        <v>0.0</v>
      </c>
      <c r="E82" t="n" s="7">
        <f>((((((((E73)+(E74))+(E75))+(E76))+(E77))+(E78))+(E79))+(E80))+(E81)</f>
        <v>0.0</v>
      </c>
      <c r="F82" t="n" s="7">
        <f>((((((((F73)+(F74))+(F75))+(F76))+(F77))+(F78))+(F79))+(F80))+(F81)</f>
        <v>0.0</v>
      </c>
      <c r="G82" t="n" s="7">
        <f>((((((((G73)+(G74))+(G75))+(G76))+(G77))+(G78))+(G79))+(G80))+(G81)</f>
        <v>0.0</v>
      </c>
      <c r="H82" t="n" s="7">
        <f>((((((((H73)+(H74))+(H75))+(H76))+(H77))+(H78))+(H79))+(H80))+(H81)</f>
        <v>0.0</v>
      </c>
      <c r="I82" t="n" s="7">
        <f>((((((((I73)+(I74))+(I75))+(I76))+(I77))+(I78))+(I79))+(I80))+(I81)</f>
        <v>0.0</v>
      </c>
      <c r="J82" t="n" s="7">
        <f>((((((((J73)+(J74))+(J75))+(J76))+(J77))+(J78))+(J79))+(J80))+(J81)</f>
        <v>0.0</v>
      </c>
      <c r="K82" t="n" s="7">
        <f>((((((((K73)+(K74))+(K75))+(K76))+(K77))+(K78))+(K79))+(K80))+(K81)</f>
        <v>0.0</v>
      </c>
      <c r="L82" t="n" s="7">
        <f>((((((((L73)+(L74))+(L75))+(L76))+(L77))+(L78))+(L79))+(L80))+(L81)</f>
        <v>0.0</v>
      </c>
      <c r="M82" t="n" s="7">
        <f>((((((((M73)+(M74))+(M75))+(M76))+(M77))+(M78))+(M79))+(M80))+(M81)</f>
        <v>0.0</v>
      </c>
      <c r="N82" t="n" s="7">
        <f>((((((((N73)+(N74))+(N75))+(N76))+(N77))+(N78))+(N79))+(N80))+(N81)</f>
        <v>0.0</v>
      </c>
    </row>
    <row r="83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6">
      <c r="A86" s="8" t="s">
        <v>90</v>
      </c>
      <c r="B86"/>
      <c r="C86"/>
      <c r="D86"/>
      <c r="E86"/>
      <c r="F86"/>
      <c r="G86"/>
      <c r="H86"/>
      <c r="I86"/>
      <c r="J86"/>
      <c r="K86"/>
      <c r="L86"/>
      <c r="M86"/>
      <c r="N86"/>
    </row>
  </sheetData>
  <mergeCells count="4">
    <mergeCell ref="A86:N86"/>
    <mergeCell ref="A1:N1"/>
    <mergeCell ref="A2:N2"/>
    <mergeCell ref="A3:N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2025-02-28T07:14:59Z</dcterms:created>
  <dc:creator>Apache POI</dc:creator>
</cp:coreProperties>
</file>