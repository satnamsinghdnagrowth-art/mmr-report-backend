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<sst xmlns="http://schemas.openxmlformats.org/spreadsheetml/2006/main" count="170" uniqueCount="113">
  <si>
    <t xml:space="preserve">Company Name:</t>
  </si>
  <si>
    <t xml:space="preserve">Seattle Barkery</t>
  </si>
  <si>
    <t xml:space="preserve">Financial Year Start:</t>
  </si>
  <si>
    <t xml:space="preserve">January</t>
  </si>
  <si>
    <t xml:space="preserve">Classification</t>
  </si>
  <si>
    <t xml:space="preserve">Account Name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</si>
  <si>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</si>
  <si>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</si>
  <si>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</si>
  <si>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</si>
  <si>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</si>
  <si>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</si>
  <si>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Revenue</t>
  </si>
  <si>
    <t xml:space="preserve">REV</t>
  </si>
  <si>
    <t xml:space="preserve">Retail Sales Income [Clover]</t>
  </si>
  <si>
    <t xml:space="preserve">Retail Sales Income [DoorDash]</t>
  </si>
  <si>
    <t xml:space="preserve">Retail Sales Income [Woo]</t>
  </si>
  <si>
    <t xml:space="preserve">Cost of Sales</t>
  </si>
  <si>
    <t xml:space="preserve">VCOS</t>
  </si>
  <si>
    <t xml:space="preserve">COGS - Packaging</t>
  </si>
  <si>
    <t xml:space="preserve">COGS - Products</t>
  </si>
  <si>
    <t xml:space="preserve">COGS - Raw Ingredients</t>
  </si>
  <si>
    <t xml:space="preserve">Expenses</t>
  </si>
  <si>
    <t xml:space="preserve">FEXP</t>
  </si>
  <si>
    <t xml:space="preserve">Automobile Expense</t>
  </si>
  <si>
    <t xml:space="preserve">Rent</t>
  </si>
  <si>
    <t xml:space="preserve">Utilities</t>
  </si>
  <si>
    <t xml:space="preserve">Insurance - Business</t>
  </si>
  <si>
    <t xml:space="preserve">IT Expense - SAAS</t>
  </si>
  <si>
    <t xml:space="preserve">Merchant Fees</t>
  </si>
  <si>
    <t xml:space="preserve">Repairs, Maintenance</t>
  </si>
  <si>
    <t xml:space="preserve">Supplies, Materials</t>
  </si>
  <si>
    <t xml:space="preserve">Bank Fees</t>
  </si>
  <si>
    <t xml:space="preserve">Charity</t>
  </si>
  <si>
    <t xml:space="preserve">Dues, Subscriptions</t>
  </si>
  <si>
    <t xml:space="preserve">Interest Expense</t>
  </si>
  <si>
    <t xml:space="preserve">License, Permits</t>
  </si>
  <si>
    <t xml:space="preserve">Office Supplies</t>
  </si>
  <si>
    <t xml:space="preserve">Telephone Expense</t>
  </si>
  <si>
    <t xml:space="preserve">Payroll Expenses</t>
  </si>
  <si>
    <t xml:space="preserve">Payroll Tax</t>
  </si>
  <si>
    <t xml:space="preserve">Salaries &amp; Wages</t>
  </si>
  <si>
    <t xml:space="preserve">Professional Fees</t>
  </si>
  <si>
    <t xml:space="preserve">Sales &amp; Marketing</t>
  </si>
  <si>
    <t xml:space="preserve">Taxes - State, Local</t>
  </si>
  <si>
    <t xml:space="preserve">Travel &amp; Meals</t>
  </si>
  <si>
    <t xml:space="preserve">Uncategorized Expense</t>
  </si>
  <si>
    <t xml:space="preserve">Other Income</t>
  </si>
  <si>
    <t xml:space="preserve">AINC</t>
  </si>
  <si>
    <t xml:space="preserve">Other income</t>
  </si>
  <si>
    <t xml:space="preserve">Other Expenses</t>
  </si>
  <si>
    <t xml:space="preserve">DA</t>
  </si>
  <si>
    <t xml:space="preserve">Depreciation Expense</t>
  </si>
  <si>
    <t xml:space="preserve">Interest Income</t>
  </si>
  <si>
    <t xml:space="preserve">IINC</t>
  </si>
  <si>
    <t xml:space="preserve">Interest Earned</t>
  </si>
  <si>
    <t xml:space="preserve">Interest Expenses</t>
  </si>
  <si>
    <t xml:space="preserve">IEXP</t>
  </si>
  <si>
    <t xml:space="preserve">Interest Intuit/Web Loan (1)</t>
  </si>
  <si>
    <t xml:space="preserve">Interest Intuit/Web Loan (2)</t>
  </si>
  <si>
    <t xml:space="preserve">Interest SBA EIDL Loan</t>
  </si>
  <si>
    <t xml:space="preserve">Current Assets</t>
  </si>
  <si>
    <t xml:space="preserve">CASH</t>
  </si>
  <si>
    <t xml:space="preserve">Bank Accounts</t>
  </si>
  <si>
    <t xml:space="preserve">OCA</t>
  </si>
  <si>
    <t xml:space="preserve">Cash Clearing</t>
  </si>
  <si>
    <t xml:space="preserve">DoorDash Clearing</t>
  </si>
  <si>
    <t xml:space="preserve">ERTC Receivable</t>
  </si>
  <si>
    <t xml:space="preserve">Inventory Asset</t>
  </si>
  <si>
    <t xml:space="preserve">Prepaid Insurance</t>
  </si>
  <si>
    <t xml:space="preserve">Rise Alliance - Escrow</t>
  </si>
  <si>
    <t xml:space="preserve">Sales Clearing</t>
  </si>
  <si>
    <t xml:space="preserve">Square Clearing</t>
  </si>
  <si>
    <t xml:space="preserve">Uncategorized Asset</t>
  </si>
  <si>
    <t xml:space="preserve">Undeposited Funds</t>
  </si>
  <si>
    <t xml:space="preserve">Woo Commerce/Authorize.net Clearing</t>
  </si>
  <si>
    <t xml:space="preserve">Non-Current Assets</t>
  </si>
  <si>
    <t xml:space="preserve">FA</t>
  </si>
  <si>
    <t xml:space="preserve">Accumulated Depreciation</t>
  </si>
  <si>
    <t xml:space="preserve">Auto</t>
  </si>
  <si>
    <t xml:space="preserve">Furniture and Equipment</t>
  </si>
  <si>
    <t xml:space="preserve">The Treat Bar (Shoreline)</t>
  </si>
  <si>
    <t xml:space="preserve">Totem Lake</t>
  </si>
  <si>
    <t xml:space="preserve">Treat Shop - TI</t>
  </si>
  <si>
    <t xml:space="preserve">ONCA</t>
  </si>
  <si>
    <t xml:space="preserve">Shoreline Bakery Deposit</t>
  </si>
  <si>
    <t xml:space="preserve">Current Liabilities</t>
  </si>
  <si>
    <t xml:space="preserve">OCL</t>
  </si>
  <si>
    <t xml:space="preserve">Credit Cards - Citi Bank CC (5366)</t>
  </si>
  <si>
    <t xml:space="preserve">Accrued Expenses</t>
  </si>
  <si>
    <t xml:space="preserve">Gift Card Unredeemed</t>
  </si>
  <si>
    <t xml:space="preserve">Intuit/Web Bank Loan (1)</t>
  </si>
  <si>
    <t xml:space="preserve">Intuit/Web Bank Loan (2)</t>
  </si>
  <si>
    <t xml:space="preserve">JP Morgan Chase-Car</t>
  </si>
  <si>
    <t xml:space="preserve">Loan Payable - D. Ford</t>
  </si>
  <si>
    <t xml:space="preserve">Payroll Liabilities</t>
  </si>
  <si>
    <t xml:space="preserve">SBA EIDL Loan</t>
  </si>
  <si>
    <t xml:space="preserve">Buster</t>
  </si>
  <si>
    <t xml:space="preserve">Shoreline Barkery</t>
  </si>
  <si>
    <t xml:space="preserve">Treat Shop - Sq Loan-Treatshop 2/8/2024</t>
  </si>
  <si>
    <t xml:space="preserve">Sales Tax Payable</t>
  </si>
  <si>
    <t xml:space="preserve">Non-Current Liabilities</t>
  </si>
  <si>
    <t xml:space="preserve">LTD</t>
  </si>
  <si>
    <t xml:space="preserve">Flex Loan</t>
  </si>
  <si>
    <t xml:space="preserve">Equity</t>
  </si>
  <si>
    <t xml:space="preserve">RE</t>
  </si>
  <si>
    <t xml:space="preserve">Retained Earnings</t>
  </si>
  <si>
    <t xml:space="preserve">CE</t>
  </si>
  <si>
    <t xml:space="preserve">Net Income</t>
  </si>
  <si>
    <t xml:space="preserve">OEQ</t>
  </si>
  <si>
    <t xml:space="preserve">Member Distribution</t>
  </si>
  <si>
    <t xml:space="preserve">Members Contribution</t>
  </si>
  <si>
    <t xml:space="preserve">Owner Equity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</si>
</sst>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;&quot;(₹&quot;#,##0\)"/>
    <numFmt numFmtId="166" formatCode="\$#,##0;&quot;($&quot;#,##0\)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D32" activeCellId="0" sqref="D3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0" width="40.89"/>
    <col collapsed="false" customWidth="true" hidden="false" outlineLevel="0" max="7" min="3" style="0" width="20"/>
    <col collapsed="false" customWidth="true" hidden="false" outlineLevel="0" max="8" min="8" style="1" width="19.67"/>
    <col collapsed="false" customWidth="true" hidden="false" outlineLevel="0" max="10" min="10" style="0" width="11"/>
  </cols>
  <sheetData>
    <row r="1" s="4" customFormat="true" ht="14.25" hidden="false" customHeight="false" outlineLevel="0" collapsed="false">
      <c r="A1" s="2" t="s">
        <v>0</v>
      </c>
      <c r="B1" s="3" t="s">
        <v>1</v>
      </c>
    </row>
    <row r="2" s="4" customFormat="true" ht="14.25" hidden="false" customHeight="false" outlineLevel="0" collapsed="false">
      <c r="A2" s="2" t="s">
        <v>2</v>
      </c>
      <c r="B2" s="3" t="s">
        <v>3</v>
      </c>
    </row>
    <row r="3" s="4" customFormat="true" ht="14.25" hidden="false" customHeight="false" outlineLevel="0" collapsed="false"/>
    <row r="4" s="4" customFormat="true" ht="14.25" hidden="false" customHeight="false" outlineLevel="0" collapsed="false"/>
    <row r="5" s="4" customFormat="true" ht="16.4" hidden="false" customHeight="false" outlineLevel="0" collapsed="false">
      <c r="A5" s="5" t="s">
        <v>4</v>
      </c>
      <c r="B5" s="5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</row>
    <row r="6" customFormat="false" ht="14.25" hidden="false" customHeight="false" outlineLevel="0" collapsed="false">
      <c r="A6" s="7"/>
      <c r="B6" s="7" t="s">
        <v>12</v>
      </c>
      <c r="C6" s="8"/>
      <c r="D6" s="8"/>
      <c r="E6" s="8"/>
      <c r="F6" s="8"/>
      <c r="G6" s="8"/>
    </row>
    <row r="7" customFormat="false" ht="14.25" hidden="false" customHeight="false" outlineLevel="0" collapsed="false">
      <c r="A7" s="9" t="s">
        <v>13</v>
      </c>
      <c r="B7" s="9" t="s">
        <v>14</v>
      </c>
      <c r="C7" s="1" t="n">
        <v>47055.78</v>
      </c>
      <c r="D7" s="1" t="n">
        <v>47122.79</v>
      </c>
      <c r="E7" s="1" t="n">
        <v>41837.28</v>
      </c>
      <c r="F7" s="1" t="n">
        <v>41227.35</v>
      </c>
      <c r="G7" s="1" t="n">
        <v>42458.59</v>
      </c>
      <c r="H7" s="1" t="n">
        <v>38006.87</v>
      </c>
    </row>
    <row r="8" customFormat="false" ht="14.25" hidden="false" customHeight="false" outlineLevel="0" collapsed="false">
      <c r="A8" s="9" t="s">
        <v>13</v>
      </c>
      <c r="B8" s="9" t="s">
        <v>15</v>
      </c>
      <c r="C8" s="1" t="n">
        <v>983.94</v>
      </c>
      <c r="D8" s="1" t="n">
        <v>1022</v>
      </c>
      <c r="E8" s="1" t="n">
        <v>1054.5</v>
      </c>
      <c r="F8" s="1" t="n">
        <v>2098.5</v>
      </c>
      <c r="G8" s="1" t="n">
        <v>814</v>
      </c>
      <c r="H8" s="1" t="n">
        <v>1175.5</v>
      </c>
    </row>
    <row r="9" customFormat="false" ht="14.25" hidden="false" customHeight="false" outlineLevel="0" collapsed="false">
      <c r="A9" s="9" t="s">
        <v>13</v>
      </c>
      <c r="B9" s="9" t="s">
        <v>16</v>
      </c>
      <c r="C9" s="1" t="n">
        <v>10396.81</v>
      </c>
      <c r="D9" s="1" t="n">
        <v>8902.5</v>
      </c>
      <c r="E9" s="1" t="n">
        <v>6954.15</v>
      </c>
      <c r="F9" s="1" t="n">
        <v>6461.85</v>
      </c>
      <c r="G9" s="1" t="n">
        <v>6763.61</v>
      </c>
      <c r="H9" s="1" t="n">
        <v>7513.8</v>
      </c>
    </row>
    <row r="10" customFormat="false" ht="14.25" hidden="false" customHeight="false" outlineLevel="0" collapsed="false">
      <c r="A10" s="7"/>
      <c r="B10" s="7" t="s">
        <v>17</v>
      </c>
      <c r="C10" s="10"/>
      <c r="D10" s="10"/>
      <c r="E10" s="10"/>
      <c r="F10" s="10"/>
      <c r="G10" s="10"/>
      <c r="H10" s="10"/>
    </row>
    <row r="11" customFormat="false" ht="14.25" hidden="false" customHeight="false" outlineLevel="0" collapsed="false">
      <c r="A11" s="9" t="s">
        <v>18</v>
      </c>
      <c r="B11" s="9" t="s">
        <v>19</v>
      </c>
      <c r="C11" s="1" t="n">
        <v>1119.88</v>
      </c>
      <c r="D11" s="1" t="n">
        <v>396.34</v>
      </c>
      <c r="E11" s="1" t="n">
        <v>552.67</v>
      </c>
      <c r="F11" s="1" t="n">
        <v>208.66</v>
      </c>
      <c r="G11" s="1" t="n">
        <v>975.49</v>
      </c>
      <c r="H11" s="1" t="n">
        <v>422.99</v>
      </c>
    </row>
    <row r="12" customFormat="false" ht="14.25" hidden="false" customHeight="false" outlineLevel="0" collapsed="false">
      <c r="A12" s="9" t="s">
        <v>18</v>
      </c>
      <c r="B12" s="9" t="s">
        <v>20</v>
      </c>
      <c r="C12" s="1" t="n">
        <v>17655.09</v>
      </c>
      <c r="D12" s="1" t="n">
        <v>16054.44</v>
      </c>
      <c r="E12" s="1" t="n">
        <v>18853.66</v>
      </c>
      <c r="F12" s="1" t="n">
        <v>11111.71</v>
      </c>
      <c r="G12" s="1" t="n">
        <v>14363.44</v>
      </c>
      <c r="H12" s="1" t="n">
        <v>9912.25</v>
      </c>
    </row>
    <row r="13" customFormat="false" ht="14.25" hidden="false" customHeight="false" outlineLevel="0" collapsed="false">
      <c r="A13" s="9" t="s">
        <v>18</v>
      </c>
      <c r="B13" s="9" t="s">
        <v>21</v>
      </c>
      <c r="C13" s="1" t="n">
        <v>4337.45</v>
      </c>
      <c r="D13" s="1" t="n">
        <v>3767.9</v>
      </c>
      <c r="E13" s="1" t="n">
        <v>3774.34</v>
      </c>
      <c r="F13" s="1" t="n">
        <v>3142.55</v>
      </c>
      <c r="G13" s="1" t="n">
        <v>4751.1</v>
      </c>
      <c r="H13" s="1" t="n">
        <v>3081.47</v>
      </c>
    </row>
    <row r="14" customFormat="false" ht="14.25" hidden="false" customHeight="false" outlineLevel="0" collapsed="false">
      <c r="A14" s="7"/>
      <c r="B14" s="7" t="s">
        <v>22</v>
      </c>
      <c r="C14" s="10"/>
      <c r="D14" s="10"/>
      <c r="E14" s="10"/>
      <c r="F14" s="10"/>
      <c r="G14" s="10"/>
      <c r="H14" s="10"/>
    </row>
    <row r="15" customFormat="false" ht="14.25" hidden="false" customHeight="false" outlineLevel="0" collapsed="false">
      <c r="A15" s="9" t="s">
        <v>23</v>
      </c>
      <c r="B15" s="9" t="s">
        <v>24</v>
      </c>
      <c r="C15" s="1" t="n">
        <v>1606.04</v>
      </c>
      <c r="D15" s="1" t="n">
        <v>177.15</v>
      </c>
      <c r="E15" s="1" t="n">
        <v>383.08</v>
      </c>
      <c r="F15" s="1" t="n">
        <v>173.34</v>
      </c>
      <c r="G15" s="1" t="n">
        <v>77.67</v>
      </c>
      <c r="H15" s="1" t="n">
        <v>145.29</v>
      </c>
    </row>
    <row r="16" customFormat="false" ht="14.25" hidden="false" customHeight="false" outlineLevel="0" collapsed="false">
      <c r="A16" s="9" t="s">
        <v>23</v>
      </c>
      <c r="B16" s="9" t="s">
        <v>25</v>
      </c>
      <c r="C16" s="1" t="n">
        <v>3011.8</v>
      </c>
      <c r="D16" s="1" t="n">
        <v>2886</v>
      </c>
      <c r="E16" s="1" t="n">
        <v>2886</v>
      </c>
      <c r="F16" s="1" t="n">
        <v>2886</v>
      </c>
      <c r="G16" s="1" t="n">
        <v>2886</v>
      </c>
      <c r="H16" s="1" t="n">
        <v>2886</v>
      </c>
    </row>
    <row r="17" customFormat="false" ht="14.25" hidden="false" customHeight="false" outlineLevel="0" collapsed="false">
      <c r="A17" s="9" t="s">
        <v>23</v>
      </c>
      <c r="B17" s="9" t="s">
        <v>26</v>
      </c>
      <c r="C17" s="1" t="n">
        <v>5.52</v>
      </c>
      <c r="D17" s="1" t="n">
        <v>842.19</v>
      </c>
      <c r="E17" s="1" t="n">
        <v>605.47</v>
      </c>
      <c r="F17" s="1" t="n">
        <v>703.26</v>
      </c>
      <c r="G17" s="1" t="n">
        <v>549.46</v>
      </c>
      <c r="H17" s="1" t="n">
        <v>660.67</v>
      </c>
    </row>
    <row r="18" customFormat="false" ht="14.25" hidden="false" customHeight="false" outlineLevel="0" collapsed="false">
      <c r="A18" s="9" t="s">
        <v>23</v>
      </c>
      <c r="B18" s="9" t="s">
        <v>27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</row>
    <row r="19" customFormat="false" ht="14.25" hidden="false" customHeight="false" outlineLevel="0" collapsed="false">
      <c r="A19" s="9" t="s">
        <v>23</v>
      </c>
      <c r="B19" s="9" t="s">
        <v>28</v>
      </c>
      <c r="C19" s="1" t="n">
        <v>560.62</v>
      </c>
      <c r="D19" s="1" t="n">
        <v>562.16</v>
      </c>
      <c r="E19" s="1" t="n">
        <v>571.16</v>
      </c>
      <c r="F19" s="1" t="n">
        <v>583.84</v>
      </c>
      <c r="G19" s="1" t="n">
        <v>910.32</v>
      </c>
      <c r="H19" s="1" t="n">
        <v>735.61</v>
      </c>
    </row>
    <row r="20" customFormat="false" ht="14.25" hidden="false" customHeight="false" outlineLevel="0" collapsed="false">
      <c r="A20" s="9" t="s">
        <v>23</v>
      </c>
      <c r="B20" s="9" t="s">
        <v>29</v>
      </c>
      <c r="C20" s="1" t="n">
        <v>3065.06</v>
      </c>
      <c r="D20" s="1" t="n">
        <v>3021.23</v>
      </c>
      <c r="E20" s="1" t="n">
        <v>2887.52</v>
      </c>
      <c r="F20" s="1" t="n">
        <v>2884.52</v>
      </c>
      <c r="G20" s="1" t="n">
        <v>2775.82</v>
      </c>
      <c r="H20" s="1" t="n">
        <v>2607.58</v>
      </c>
    </row>
    <row r="21" customFormat="false" ht="14.25" hidden="false" customHeight="false" outlineLevel="0" collapsed="false">
      <c r="A21" s="9" t="s">
        <v>23</v>
      </c>
      <c r="B21" s="9" t="s">
        <v>30</v>
      </c>
      <c r="C21" s="1"/>
      <c r="D21" s="1"/>
      <c r="E21" s="1" t="n">
        <v>238.35</v>
      </c>
      <c r="F21" s="1"/>
      <c r="G21" s="1"/>
    </row>
    <row r="22" customFormat="false" ht="14.25" hidden="false" customHeight="false" outlineLevel="0" collapsed="false">
      <c r="A22" s="9" t="s">
        <v>23</v>
      </c>
      <c r="B22" s="9" t="s">
        <v>31</v>
      </c>
      <c r="C22" s="1" t="n">
        <v>2073.91</v>
      </c>
      <c r="D22" s="1" t="n">
        <v>1637.26</v>
      </c>
      <c r="E22" s="1" t="n">
        <v>1374.85</v>
      </c>
      <c r="F22" s="1" t="n">
        <v>1101.62</v>
      </c>
      <c r="G22" s="1" t="n">
        <v>1401.76</v>
      </c>
      <c r="H22" s="1" t="n">
        <v>1157.82</v>
      </c>
    </row>
    <row r="23" customFormat="false" ht="14.25" hidden="false" customHeight="false" outlineLevel="0" collapsed="false">
      <c r="A23" s="9" t="s">
        <v>23</v>
      </c>
      <c r="B23" s="9" t="s">
        <v>32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</row>
    <row r="24" customFormat="false" ht="14.25" hidden="false" customHeight="false" outlineLevel="0" collapsed="false">
      <c r="A24" s="9" t="s">
        <v>23</v>
      </c>
      <c r="B24" s="9" t="s">
        <v>33</v>
      </c>
      <c r="C24" s="1" t="n">
        <v>51.5</v>
      </c>
      <c r="D24" s="1" t="n">
        <v>512.76</v>
      </c>
      <c r="E24" s="1"/>
      <c r="F24" s="1"/>
      <c r="G24" s="1" t="n">
        <v>10</v>
      </c>
    </row>
    <row r="25" customFormat="false" ht="14.25" hidden="false" customHeight="false" outlineLevel="0" collapsed="false">
      <c r="A25" s="9" t="s">
        <v>23</v>
      </c>
      <c r="B25" s="9" t="s">
        <v>34</v>
      </c>
      <c r="C25" s="1" t="n">
        <v>13.24</v>
      </c>
      <c r="D25" s="1" t="n">
        <v>13.24</v>
      </c>
      <c r="E25" s="1" t="n">
        <v>13.24</v>
      </c>
      <c r="F25" s="1" t="n">
        <v>38.6</v>
      </c>
      <c r="G25" s="1" t="n">
        <v>25.36</v>
      </c>
      <c r="H25" s="1" t="n">
        <v>30.88</v>
      </c>
    </row>
    <row r="26" customFormat="false" ht="14.25" hidden="false" customHeight="false" outlineLevel="0" collapsed="false">
      <c r="A26" s="9" t="s">
        <v>23</v>
      </c>
      <c r="B26" s="9" t="s">
        <v>35</v>
      </c>
      <c r="C26" s="1" t="n">
        <v>33.25</v>
      </c>
      <c r="D26" s="1" t="n">
        <v>27.38</v>
      </c>
      <c r="E26" s="1" t="n">
        <v>27.17</v>
      </c>
      <c r="F26" s="1" t="n">
        <v>23.31</v>
      </c>
      <c r="G26" s="1" t="n">
        <v>26.43</v>
      </c>
      <c r="H26" s="1" t="n">
        <v>16.57</v>
      </c>
    </row>
    <row r="27" customFormat="false" ht="14.25" hidden="false" customHeight="false" outlineLevel="0" collapsed="false">
      <c r="A27" s="9" t="s">
        <v>23</v>
      </c>
      <c r="B27" s="9" t="s">
        <v>36</v>
      </c>
      <c r="C27" s="1"/>
      <c r="D27" s="1"/>
      <c r="E27" s="1"/>
      <c r="F27" s="1" t="n">
        <v>900</v>
      </c>
      <c r="G27" s="1" t="n">
        <v>216.75</v>
      </c>
    </row>
    <row r="28" customFormat="false" ht="14.25" hidden="false" customHeight="false" outlineLevel="0" collapsed="false">
      <c r="A28" s="9" t="s">
        <v>23</v>
      </c>
      <c r="B28" s="9" t="s">
        <v>37</v>
      </c>
      <c r="C28" s="1" t="n">
        <v>20.89</v>
      </c>
      <c r="D28" s="1" t="n">
        <v>85.97</v>
      </c>
      <c r="E28" s="1" t="n">
        <v>3.27</v>
      </c>
      <c r="F28" s="1"/>
      <c r="G28" s="1" t="n">
        <v>52.01</v>
      </c>
      <c r="H28" s="1" t="n">
        <v>39.65</v>
      </c>
    </row>
    <row r="29" customFormat="false" ht="14.25" hidden="false" customHeight="false" outlineLevel="0" collapsed="false">
      <c r="A29" s="9" t="s">
        <v>23</v>
      </c>
      <c r="B29" s="9" t="s">
        <v>38</v>
      </c>
      <c r="C29" s="1" t="n">
        <v>281.01</v>
      </c>
      <c r="D29" s="1"/>
      <c r="E29" s="1"/>
      <c r="F29" s="1" t="n">
        <v>244.31</v>
      </c>
      <c r="G29" s="1" t="n">
        <v>246.17</v>
      </c>
      <c r="H29" s="1" t="n">
        <v>246.17</v>
      </c>
    </row>
    <row r="30" customFormat="false" ht="14.25" hidden="false" customHeight="false" outlineLevel="0" collapsed="false">
      <c r="A30" s="9" t="s">
        <v>23</v>
      </c>
      <c r="B30" s="9" t="s">
        <v>39</v>
      </c>
      <c r="C30" s="1" t="n">
        <v>133.58</v>
      </c>
      <c r="D30" s="1" t="n">
        <v>133.58</v>
      </c>
      <c r="E30" s="1" t="n">
        <v>532.34</v>
      </c>
      <c r="F30" s="1" t="n">
        <v>133.58</v>
      </c>
      <c r="G30" s="1" t="n">
        <v>133.58</v>
      </c>
      <c r="H30" s="1" t="n">
        <v>133.58</v>
      </c>
    </row>
    <row r="31" customFormat="false" ht="14.25" hidden="false" customHeight="false" outlineLevel="0" collapsed="false">
      <c r="A31" s="9" t="s">
        <v>23</v>
      </c>
      <c r="B31" s="9" t="s">
        <v>40</v>
      </c>
      <c r="C31" s="1" t="n">
        <v>5591.9</v>
      </c>
      <c r="D31" s="1" t="n">
        <v>6077.68</v>
      </c>
      <c r="E31" s="1" t="n">
        <v>5781.02</v>
      </c>
      <c r="F31" s="1" t="n">
        <v>5822.67</v>
      </c>
      <c r="G31" s="1" t="n">
        <v>5741.42</v>
      </c>
      <c r="H31" s="1" t="n">
        <v>4009.46</v>
      </c>
    </row>
    <row r="32" customFormat="false" ht="14.25" hidden="false" customHeight="false" outlineLevel="0" collapsed="false">
      <c r="A32" s="9" t="s">
        <v>23</v>
      </c>
      <c r="B32" s="9" t="s">
        <v>41</v>
      </c>
      <c r="C32" s="1" t="n">
        <v>14794.92</v>
      </c>
      <c r="D32" s="1" t="n">
        <v>14847.65</v>
      </c>
      <c r="E32" s="1" t="n">
        <v>15807.69</v>
      </c>
      <c r="F32" s="1" t="n">
        <v>16315.75</v>
      </c>
      <c r="G32" s="1" t="n">
        <v>19003.12</v>
      </c>
      <c r="H32" s="1" t="n">
        <v>13284.57</v>
      </c>
    </row>
    <row r="33" customFormat="false" ht="14.25" hidden="false" customHeight="false" outlineLevel="0" collapsed="false">
      <c r="A33" s="9" t="s">
        <v>23</v>
      </c>
      <c r="B33" s="9" t="s">
        <v>42</v>
      </c>
      <c r="C33" s="1" t="n">
        <v>2295.88</v>
      </c>
      <c r="D33" s="1"/>
      <c r="E33" s="1"/>
      <c r="F33" s="1" t="n">
        <v>640</v>
      </c>
      <c r="G33" s="1"/>
      <c r="H33" s="1" t="n">
        <v>1920</v>
      </c>
    </row>
    <row r="34" customFormat="false" ht="14.25" hidden="false" customHeight="false" outlineLevel="0" collapsed="false">
      <c r="A34" s="9" t="s">
        <v>23</v>
      </c>
      <c r="B34" s="9" t="s">
        <v>43</v>
      </c>
      <c r="C34" s="1" t="n">
        <v>407.74</v>
      </c>
      <c r="D34" s="1" t="n">
        <v>637.82</v>
      </c>
      <c r="E34" s="1" t="n">
        <v>1081.52</v>
      </c>
      <c r="F34" s="1" t="n">
        <v>802.74</v>
      </c>
      <c r="G34" s="1" t="n">
        <v>156.61</v>
      </c>
      <c r="H34" s="1" t="n">
        <v>117.61</v>
      </c>
    </row>
    <row r="35" customFormat="false" ht="14.25" hidden="false" customHeight="false" outlineLevel="0" collapsed="false">
      <c r="A35" s="9" t="s">
        <v>23</v>
      </c>
      <c r="B35" s="9" t="s">
        <v>44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</row>
    <row r="36" customFormat="false" ht="14.25" hidden="false" customHeight="false" outlineLevel="0" collapsed="false">
      <c r="A36" s="9" t="s">
        <v>23</v>
      </c>
      <c r="B36" s="9" t="s">
        <v>45</v>
      </c>
      <c r="C36" s="1" t="n">
        <v>135.08</v>
      </c>
      <c r="D36" s="1" t="n">
        <v>220.18</v>
      </c>
      <c r="E36" s="1" t="n">
        <v>142</v>
      </c>
      <c r="F36" s="1" t="n">
        <v>142</v>
      </c>
      <c r="G36" s="1" t="n">
        <v>142</v>
      </c>
      <c r="H36" s="1" t="n">
        <v>49</v>
      </c>
    </row>
    <row r="37" customFormat="false" ht="14.25" hidden="false" customHeight="false" outlineLevel="0" collapsed="false">
      <c r="A37" s="9" t="s">
        <v>23</v>
      </c>
      <c r="B37" s="9" t="s">
        <v>46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</row>
    <row r="38" customFormat="false" ht="14.25" hidden="false" customHeight="false" outlineLevel="0" collapsed="false">
      <c r="A38" s="7"/>
      <c r="B38" s="7" t="s">
        <v>47</v>
      </c>
      <c r="C38" s="10"/>
      <c r="D38" s="10"/>
      <c r="E38" s="10"/>
      <c r="F38" s="10"/>
      <c r="G38" s="10"/>
      <c r="H38" s="10"/>
    </row>
    <row r="39" customFormat="false" ht="14.25" hidden="false" customHeight="false" outlineLevel="0" collapsed="false">
      <c r="A39" s="9" t="s">
        <v>48</v>
      </c>
      <c r="B39" s="9" t="s">
        <v>49</v>
      </c>
      <c r="C39" s="1" t="n">
        <v>350.31</v>
      </c>
      <c r="D39" s="1"/>
      <c r="E39" s="1"/>
      <c r="F39" s="1"/>
      <c r="G39" s="1"/>
    </row>
    <row r="40" customFormat="false" ht="14.25" hidden="false" customHeight="false" outlineLevel="0" collapsed="false">
      <c r="A40" s="7"/>
      <c r="B40" s="7" t="s">
        <v>50</v>
      </c>
      <c r="C40" s="10"/>
      <c r="D40" s="10"/>
      <c r="E40" s="10"/>
      <c r="F40" s="10"/>
      <c r="G40" s="10"/>
      <c r="H40" s="10"/>
    </row>
    <row r="41" customFormat="false" ht="14.25" hidden="false" customHeight="false" outlineLevel="0" collapsed="false">
      <c r="A41" s="9" t="s">
        <v>51</v>
      </c>
      <c r="B41" s="9" t="s">
        <v>52</v>
      </c>
      <c r="C41" s="1" t="n">
        <v>946.13</v>
      </c>
      <c r="D41" s="1" t="n">
        <v>946.13</v>
      </c>
      <c r="E41" s="1" t="n">
        <v>946.13</v>
      </c>
      <c r="F41" s="1" t="n">
        <v>946.13</v>
      </c>
      <c r="G41" s="1" t="n">
        <v>946.13</v>
      </c>
      <c r="H41" s="1" t="n">
        <v>801.63</v>
      </c>
    </row>
    <row r="42" customFormat="false" ht="14.25" hidden="false" customHeight="false" outlineLevel="0" collapsed="false">
      <c r="A42" s="7"/>
      <c r="B42" s="7" t="s">
        <v>53</v>
      </c>
      <c r="C42" s="10"/>
      <c r="D42" s="10"/>
      <c r="E42" s="10"/>
      <c r="F42" s="10"/>
      <c r="G42" s="10"/>
      <c r="H42" s="10"/>
    </row>
    <row r="43" customFormat="false" ht="14.25" hidden="false" customHeight="false" outlineLevel="0" collapsed="false">
      <c r="A43" s="9" t="s">
        <v>54</v>
      </c>
      <c r="B43" s="9" t="s">
        <v>55</v>
      </c>
      <c r="C43" s="1" t="n">
        <v>4.19</v>
      </c>
      <c r="D43" s="1" t="n">
        <v>2.92</v>
      </c>
      <c r="E43" s="1" t="n">
        <v>2.25</v>
      </c>
      <c r="F43" s="1" t="n">
        <v>1.33</v>
      </c>
      <c r="G43" s="1" t="n">
        <v>4.05</v>
      </c>
      <c r="H43" s="1" t="n">
        <v>3.64</v>
      </c>
    </row>
    <row r="44" customFormat="false" ht="14.25" hidden="false" customHeight="false" outlineLevel="0" collapsed="false">
      <c r="A44" s="7"/>
      <c r="B44" s="7" t="s">
        <v>56</v>
      </c>
      <c r="C44" s="10"/>
      <c r="D44" s="10"/>
      <c r="E44" s="10"/>
      <c r="F44" s="10"/>
      <c r="G44" s="10"/>
      <c r="H44" s="10"/>
    </row>
    <row r="45" customFormat="false" ht="14.25" hidden="false" customHeight="false" outlineLevel="0" collapsed="false">
      <c r="A45" s="9" t="s">
        <v>57</v>
      </c>
      <c r="B45" s="9" t="s">
        <v>58</v>
      </c>
      <c r="C45" s="1" t="n">
        <v>314.83</v>
      </c>
      <c r="D45" s="1" t="n">
        <v>287.59</v>
      </c>
      <c r="E45" s="1" t="n">
        <v>279.14</v>
      </c>
      <c r="F45" s="1" t="n">
        <v>252.58</v>
      </c>
      <c r="G45" s="1" t="n">
        <v>242.47</v>
      </c>
    </row>
    <row r="46" customFormat="false" ht="14.25" hidden="false" customHeight="false" outlineLevel="0" collapsed="false">
      <c r="A46" s="9" t="s">
        <v>57</v>
      </c>
      <c r="B46" s="9" t="s">
        <v>59</v>
      </c>
      <c r="C46" s="1"/>
      <c r="D46" s="1"/>
      <c r="E46" s="1"/>
      <c r="F46" s="1" t="n">
        <v>207.12</v>
      </c>
      <c r="G46" s="1" t="n">
        <v>206.72</v>
      </c>
      <c r="H46" s="1" t="n">
        <v>119.41</v>
      </c>
    </row>
    <row r="47" customFormat="false" ht="14.25" hidden="false" customHeight="false" outlineLevel="0" collapsed="false">
      <c r="A47" s="9" t="s">
        <v>57</v>
      </c>
      <c r="B47" s="9" t="s">
        <v>60</v>
      </c>
      <c r="C47" s="1" t="n">
        <v>98</v>
      </c>
      <c r="D47" s="1" t="n">
        <v>98</v>
      </c>
      <c r="E47" s="1" t="n">
        <v>98</v>
      </c>
      <c r="F47" s="1" t="n">
        <v>98</v>
      </c>
      <c r="G47" s="1" t="n">
        <v>98</v>
      </c>
      <c r="H47" s="1" t="n">
        <v>98</v>
      </c>
    </row>
    <row r="48" customFormat="false" ht="14.25" hidden="false" customHeight="false" outlineLevel="0" collapsed="false">
      <c r="A48" s="7"/>
      <c r="B48" s="7" t="s">
        <v>61</v>
      </c>
      <c r="C48" s="10"/>
      <c r="D48" s="10"/>
      <c r="E48" s="10"/>
      <c r="F48" s="10"/>
      <c r="G48" s="10"/>
      <c r="H48" s="10"/>
    </row>
    <row r="49" customFormat="false" ht="14.25" hidden="false" customHeight="false" outlineLevel="0" collapsed="false">
      <c r="A49" s="9" t="s">
        <v>62</v>
      </c>
      <c r="B49" s="9" t="s">
        <v>63</v>
      </c>
      <c r="C49" s="1" t="n">
        <v>29676.29</v>
      </c>
      <c r="D49" s="1" t="n">
        <v>21502.26</v>
      </c>
      <c r="E49" s="1" t="n">
        <v>26885.49</v>
      </c>
      <c r="F49" s="1" t="n">
        <v>17147.87</v>
      </c>
      <c r="G49" s="1" t="n">
        <v>25762.13</v>
      </c>
      <c r="H49" s="1" t="n">
        <v>30757.16</v>
      </c>
      <c r="J49" s="11" t="n">
        <f aca="false">SUM(C49:H49)</f>
        <v>151731.2</v>
      </c>
    </row>
    <row r="50" customFormat="false" ht="14.25" hidden="false" customHeight="false" outlineLevel="0" collapsed="false">
      <c r="A50" s="9" t="s">
        <v>64</v>
      </c>
      <c r="B50" s="9" t="s">
        <v>65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J50" s="11" t="n">
        <f aca="false">SUM(C50:H50)</f>
        <v>0</v>
      </c>
    </row>
    <row r="51" customFormat="false" ht="14.25" hidden="false" customHeight="false" outlineLevel="0" collapsed="false">
      <c r="A51" s="9" t="s">
        <v>64</v>
      </c>
      <c r="B51" s="9" t="s">
        <v>66</v>
      </c>
      <c r="C51" s="1" t="n">
        <v>644.18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J51" s="11" t="n">
        <f aca="false">SUM(C51:H51)</f>
        <v>644.18</v>
      </c>
    </row>
    <row r="52" customFormat="false" ht="14.25" hidden="false" customHeight="false" outlineLevel="0" collapsed="false">
      <c r="A52" s="9" t="s">
        <v>64</v>
      </c>
      <c r="B52" s="9" t="s">
        <v>67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J52" s="11" t="n">
        <f aca="false">SUM(C52:H52)</f>
        <v>0</v>
      </c>
    </row>
    <row r="53" customFormat="false" ht="14.25" hidden="false" customHeight="false" outlineLevel="0" collapsed="false">
      <c r="A53" s="9" t="s">
        <v>64</v>
      </c>
      <c r="B53" s="9" t="s">
        <v>68</v>
      </c>
      <c r="C53" s="1" t="n">
        <v>19479</v>
      </c>
      <c r="D53" s="1" t="n">
        <v>19479</v>
      </c>
      <c r="E53" s="1" t="n">
        <v>19479</v>
      </c>
      <c r="F53" s="1" t="n">
        <v>19479</v>
      </c>
      <c r="G53" s="1" t="n">
        <v>19479</v>
      </c>
      <c r="H53" s="1" t="n">
        <v>19479</v>
      </c>
      <c r="J53" s="11" t="n">
        <f aca="false">SUM(C53:H53)</f>
        <v>116874</v>
      </c>
    </row>
    <row r="54" customFormat="false" ht="14.25" hidden="false" customHeight="false" outlineLevel="0" collapsed="false">
      <c r="A54" s="9" t="s">
        <v>64</v>
      </c>
      <c r="B54" s="9" t="s">
        <v>69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J54" s="11" t="n">
        <f aca="false">SUM(C54:H54)</f>
        <v>0</v>
      </c>
    </row>
    <row r="55" customFormat="false" ht="14.25" hidden="false" customHeight="false" outlineLevel="0" collapsed="false">
      <c r="A55" s="9" t="s">
        <v>64</v>
      </c>
      <c r="B55" s="9" t="s">
        <v>70</v>
      </c>
      <c r="C55" s="1" t="n">
        <v>30297.4</v>
      </c>
      <c r="D55" s="1" t="n">
        <v>30297.4</v>
      </c>
      <c r="E55" s="1" t="n">
        <v>30297.4</v>
      </c>
      <c r="F55" s="1" t="n">
        <v>30297.4</v>
      </c>
      <c r="G55" s="1" t="n">
        <v>30297.4</v>
      </c>
      <c r="H55" s="1" t="n">
        <v>30297.4</v>
      </c>
      <c r="J55" s="11" t="n">
        <f aca="false">SUM(C55:H55)</f>
        <v>181784.4</v>
      </c>
    </row>
    <row r="56" customFormat="false" ht="14.25" hidden="false" customHeight="false" outlineLevel="0" collapsed="false">
      <c r="A56" s="9" t="s">
        <v>64</v>
      </c>
      <c r="B56" s="9" t="s">
        <v>71</v>
      </c>
      <c r="C56" s="1" t="n">
        <v>10436.23</v>
      </c>
      <c r="D56" s="1" t="n">
        <v>26820.08</v>
      </c>
      <c r="E56" s="1" t="n">
        <v>15426.57</v>
      </c>
      <c r="F56" s="1" t="n">
        <v>20990.31</v>
      </c>
      <c r="G56" s="1" t="n">
        <v>27891.63</v>
      </c>
      <c r="H56" s="1" t="n">
        <v>25604.67</v>
      </c>
      <c r="J56" s="11" t="n">
        <f aca="false">SUM(C56:H56)</f>
        <v>127169.49</v>
      </c>
    </row>
    <row r="57" customFormat="false" ht="14.25" hidden="false" customHeight="false" outlineLevel="0" collapsed="false">
      <c r="A57" s="9" t="s">
        <v>64</v>
      </c>
      <c r="B57" s="9" t="s">
        <v>72</v>
      </c>
      <c r="C57" s="1" t="n">
        <v>3241.77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J57" s="11" t="n">
        <f aca="false">SUM(C57:H57)</f>
        <v>3241.77</v>
      </c>
    </row>
    <row r="58" customFormat="false" ht="14.25" hidden="false" customHeight="false" outlineLevel="0" collapsed="false">
      <c r="A58" s="9" t="s">
        <v>64</v>
      </c>
      <c r="B58" s="9" t="s">
        <v>73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J58" s="11" t="n">
        <f aca="false">SUM(C58:H58)</f>
        <v>0</v>
      </c>
    </row>
    <row r="59" customFormat="false" ht="14.25" hidden="false" customHeight="false" outlineLevel="0" collapsed="false">
      <c r="A59" s="9" t="s">
        <v>64</v>
      </c>
      <c r="B59" s="9" t="s">
        <v>74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J59" s="11" t="n">
        <f aca="false">SUM(C59:H59)</f>
        <v>0</v>
      </c>
    </row>
    <row r="60" customFormat="false" ht="14.25" hidden="false" customHeight="false" outlineLevel="0" collapsed="false">
      <c r="A60" s="9" t="s">
        <v>64</v>
      </c>
      <c r="B60" s="9" t="s">
        <v>75</v>
      </c>
      <c r="C60" s="1" t="n">
        <v>5010.47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J60" s="11" t="n">
        <f aca="false">SUM(C60:H60)</f>
        <v>5010.47</v>
      </c>
    </row>
    <row r="61" customFormat="false" ht="14.25" hidden="false" customHeight="false" outlineLevel="0" collapsed="false">
      <c r="A61" s="7"/>
      <c r="B61" s="7" t="s">
        <v>76</v>
      </c>
      <c r="C61" s="10"/>
      <c r="D61" s="10"/>
      <c r="E61" s="10"/>
      <c r="F61" s="10"/>
      <c r="G61" s="10"/>
      <c r="H61" s="10"/>
      <c r="J61" s="11" t="n">
        <f aca="false">SUM(C61:H61)</f>
        <v>0</v>
      </c>
    </row>
    <row r="62" customFormat="false" ht="14.25" hidden="false" customHeight="false" outlineLevel="0" collapsed="false">
      <c r="A62" s="9" t="s">
        <v>77</v>
      </c>
      <c r="B62" s="9" t="s">
        <v>78</v>
      </c>
      <c r="C62" s="1" t="n">
        <v>-48737.45</v>
      </c>
      <c r="D62" s="1" t="n">
        <v>-49683.58</v>
      </c>
      <c r="E62" s="1" t="n">
        <v>-50629.71</v>
      </c>
      <c r="F62" s="1" t="n">
        <v>-51575.84</v>
      </c>
      <c r="G62" s="1" t="n">
        <v>-52521.97</v>
      </c>
      <c r="H62" s="1" t="n">
        <v>-53323.6</v>
      </c>
      <c r="J62" s="11" t="n">
        <f aca="false">SUM(C62:H62)</f>
        <v>-306472.15</v>
      </c>
    </row>
    <row r="63" customFormat="false" ht="14.25" hidden="false" customHeight="false" outlineLevel="0" collapsed="false">
      <c r="A63" s="9" t="s">
        <v>77</v>
      </c>
      <c r="B63" s="9" t="s">
        <v>79</v>
      </c>
      <c r="C63" s="1" t="n">
        <v>20886.64</v>
      </c>
      <c r="D63" s="1" t="n">
        <v>20886.64</v>
      </c>
      <c r="E63" s="1" t="n">
        <v>20886.64</v>
      </c>
      <c r="F63" s="1" t="n">
        <v>20886.64</v>
      </c>
      <c r="G63" s="1" t="n">
        <v>20886.64</v>
      </c>
      <c r="H63" s="1" t="n">
        <v>20886.64</v>
      </c>
      <c r="J63" s="11" t="n">
        <f aca="false">SUM(C63:H63)</f>
        <v>125319.84</v>
      </c>
    </row>
    <row r="64" customFormat="false" ht="14.25" hidden="false" customHeight="false" outlineLevel="0" collapsed="false">
      <c r="A64" s="9" t="s">
        <v>77</v>
      </c>
      <c r="B64" s="9" t="s">
        <v>80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J64" s="11" t="n">
        <f aca="false">SUM(C64:H64)</f>
        <v>0</v>
      </c>
    </row>
    <row r="65" customFormat="false" ht="14.25" hidden="false" customHeight="false" outlineLevel="0" collapsed="false">
      <c r="A65" s="9" t="s">
        <v>77</v>
      </c>
      <c r="B65" s="9" t="s">
        <v>81</v>
      </c>
      <c r="C65" s="1" t="n">
        <v>5950</v>
      </c>
      <c r="D65" s="1" t="n">
        <v>5950</v>
      </c>
      <c r="E65" s="1" t="n">
        <v>5950</v>
      </c>
      <c r="F65" s="1" t="n">
        <v>5950</v>
      </c>
      <c r="G65" s="1" t="n">
        <v>5950</v>
      </c>
      <c r="H65" s="1" t="n">
        <v>5950</v>
      </c>
      <c r="J65" s="11" t="n">
        <f aca="false">SUM(C65:H65)</f>
        <v>35700</v>
      </c>
    </row>
    <row r="66" customFormat="false" ht="14.25" hidden="false" customHeight="false" outlineLevel="0" collapsed="false">
      <c r="A66" s="9" t="s">
        <v>77</v>
      </c>
      <c r="B66" s="9" t="s">
        <v>82</v>
      </c>
      <c r="C66" s="1" t="n">
        <v>2184.78</v>
      </c>
      <c r="D66" s="1" t="n">
        <v>2184.78</v>
      </c>
      <c r="E66" s="1" t="n">
        <v>2184.78</v>
      </c>
      <c r="F66" s="1" t="n">
        <v>2184.78</v>
      </c>
      <c r="G66" s="1" t="n">
        <v>2184.78</v>
      </c>
      <c r="H66" s="1" t="n">
        <v>2184.78</v>
      </c>
      <c r="J66" s="11" t="n">
        <f aca="false">SUM(C66:H66)</f>
        <v>13108.68</v>
      </c>
    </row>
    <row r="67" customFormat="false" ht="14.25" hidden="false" customHeight="false" outlineLevel="0" collapsed="false">
      <c r="A67" s="9" t="s">
        <v>77</v>
      </c>
      <c r="B67" s="9" t="s">
        <v>83</v>
      </c>
      <c r="C67" s="1" t="n">
        <v>39962.91</v>
      </c>
      <c r="D67" s="1" t="n">
        <v>39962.91</v>
      </c>
      <c r="E67" s="1" t="n">
        <v>39962.91</v>
      </c>
      <c r="F67" s="1" t="n">
        <v>39962.91</v>
      </c>
      <c r="G67" s="1" t="n">
        <v>39962.91</v>
      </c>
      <c r="H67" s="1" t="n">
        <v>39962.91</v>
      </c>
      <c r="J67" s="11" t="n">
        <f aca="false">SUM(C67:H67)</f>
        <v>239777.46</v>
      </c>
    </row>
    <row r="68" customFormat="false" ht="14.25" hidden="false" customHeight="false" outlineLevel="0" collapsed="false">
      <c r="A68" s="9" t="s">
        <v>84</v>
      </c>
      <c r="B68" s="9" t="s">
        <v>85</v>
      </c>
      <c r="C68" s="1" t="n">
        <v>2193</v>
      </c>
      <c r="D68" s="1" t="n">
        <v>2193</v>
      </c>
      <c r="E68" s="1" t="n">
        <v>2193</v>
      </c>
      <c r="F68" s="1" t="n">
        <v>2193</v>
      </c>
      <c r="G68" s="1" t="n">
        <v>2193</v>
      </c>
      <c r="H68" s="1" t="n">
        <v>2193</v>
      </c>
      <c r="J68" s="11" t="n">
        <f aca="false">SUM(C68:H68)</f>
        <v>13158</v>
      </c>
      <c r="K68" s="11"/>
    </row>
    <row r="69" customFormat="false" ht="14.25" hidden="false" customHeight="false" outlineLevel="0" collapsed="false">
      <c r="A69" s="7"/>
      <c r="B69" s="7" t="s">
        <v>86</v>
      </c>
      <c r="C69" s="10"/>
      <c r="D69" s="10"/>
      <c r="E69" s="10"/>
      <c r="F69" s="10"/>
      <c r="G69" s="10"/>
      <c r="H69" s="10"/>
      <c r="J69" s="11" t="n">
        <f aca="false">SUM(C69:H69)</f>
        <v>0</v>
      </c>
    </row>
    <row r="70" customFormat="false" ht="14.25" hidden="false" customHeight="false" outlineLevel="0" collapsed="false">
      <c r="A70" s="9" t="s">
        <v>87</v>
      </c>
      <c r="B70" s="9" t="s">
        <v>88</v>
      </c>
      <c r="C70" s="1" t="n">
        <v>1534.15</v>
      </c>
      <c r="D70" s="1" t="n">
        <v>1411.53</v>
      </c>
      <c r="E70" s="1" t="n">
        <v>1338.7</v>
      </c>
      <c r="F70" s="1" t="n">
        <v>1266.98</v>
      </c>
      <c r="G70" s="1" t="n">
        <v>893.41</v>
      </c>
      <c r="H70" s="1" t="n">
        <v>816.57</v>
      </c>
      <c r="J70" s="11" t="n">
        <f aca="false">SUM(C70:H70)</f>
        <v>7261.34</v>
      </c>
    </row>
    <row r="71" customFormat="false" ht="14.25" hidden="false" customHeight="false" outlineLevel="0" collapsed="false">
      <c r="A71" s="9" t="s">
        <v>87</v>
      </c>
      <c r="B71" s="9" t="s">
        <v>89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2886</v>
      </c>
      <c r="J71" s="11" t="n">
        <f aca="false">SUM(C71:H71)</f>
        <v>2886</v>
      </c>
    </row>
    <row r="72" customFormat="false" ht="14.25" hidden="false" customHeight="false" outlineLevel="0" collapsed="false">
      <c r="A72" s="9" t="s">
        <v>87</v>
      </c>
      <c r="B72" s="9" t="s">
        <v>90</v>
      </c>
      <c r="C72" s="1" t="n">
        <v>7305.54</v>
      </c>
      <c r="D72" s="1" t="n">
        <v>7305.54</v>
      </c>
      <c r="E72" s="1" t="n">
        <v>7305.54</v>
      </c>
      <c r="F72" s="1" t="n">
        <v>7405.54</v>
      </c>
      <c r="G72" s="1" t="n">
        <v>7405.54</v>
      </c>
      <c r="H72" s="1" t="n">
        <v>7405.54</v>
      </c>
      <c r="J72" s="11" t="n">
        <f aca="false">SUM(C72:H72)</f>
        <v>44133.24</v>
      </c>
    </row>
    <row r="73" customFormat="false" ht="14.25" hidden="false" customHeight="false" outlineLevel="0" collapsed="false">
      <c r="A73" s="9" t="s">
        <v>87</v>
      </c>
      <c r="B73" s="9" t="s">
        <v>91</v>
      </c>
      <c r="C73" s="1" t="n">
        <v>21206.11</v>
      </c>
      <c r="D73" s="1" t="n">
        <v>19919.42</v>
      </c>
      <c r="E73" s="1" t="n">
        <v>18624.28</v>
      </c>
      <c r="F73" s="1" t="n">
        <v>17302.58</v>
      </c>
      <c r="G73" s="1" t="n">
        <v>15970.77</v>
      </c>
      <c r="H73" s="1" t="n">
        <v>14396.49</v>
      </c>
      <c r="J73" s="11" t="n">
        <f aca="false">SUM(C73:H73)</f>
        <v>107419.65</v>
      </c>
    </row>
    <row r="74" customFormat="false" ht="14.25" hidden="false" customHeight="false" outlineLevel="0" collapsed="false">
      <c r="A74" s="9" t="s">
        <v>87</v>
      </c>
      <c r="B74" s="9" t="s">
        <v>92</v>
      </c>
      <c r="C74" s="1" t="n">
        <v>0</v>
      </c>
      <c r="D74" s="1" t="n">
        <v>0</v>
      </c>
      <c r="E74" s="1" t="n">
        <v>0</v>
      </c>
      <c r="F74" s="1" t="n">
        <v>-409.62</v>
      </c>
      <c r="G74" s="1" t="n">
        <v>15812.36</v>
      </c>
      <c r="H74" s="1" t="n">
        <v>15315.03</v>
      </c>
      <c r="J74" s="11" t="n">
        <f aca="false">SUM(C74:H74)</f>
        <v>30717.77</v>
      </c>
    </row>
    <row r="75" customFormat="false" ht="14.25" hidden="false" customHeight="false" outlineLevel="0" collapsed="false">
      <c r="A75" s="9" t="s">
        <v>87</v>
      </c>
      <c r="B75" s="9" t="s">
        <v>93</v>
      </c>
      <c r="C75" s="1" t="n">
        <v>12995.66</v>
      </c>
      <c r="D75" s="1" t="n">
        <v>12995.66</v>
      </c>
      <c r="E75" s="1" t="n">
        <v>0</v>
      </c>
      <c r="F75" s="1" t="n">
        <v>0</v>
      </c>
      <c r="G75" s="1" t="n">
        <v>0</v>
      </c>
      <c r="H75" s="1" t="n">
        <v>0</v>
      </c>
      <c r="J75" s="11" t="n">
        <f aca="false">SUM(C75:H75)</f>
        <v>25991.32</v>
      </c>
    </row>
    <row r="76" customFormat="false" ht="14.25" hidden="false" customHeight="false" outlineLevel="0" collapsed="false">
      <c r="A76" s="9" t="s">
        <v>87</v>
      </c>
      <c r="B76" s="9" t="s">
        <v>94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J76" s="11" t="n">
        <f aca="false">SUM(C76:H76)</f>
        <v>0</v>
      </c>
    </row>
    <row r="77" customFormat="false" ht="14.25" hidden="false" customHeight="false" outlineLevel="0" collapsed="false">
      <c r="A77" s="9" t="s">
        <v>87</v>
      </c>
      <c r="B77" s="9" t="s">
        <v>95</v>
      </c>
      <c r="C77" s="1" t="n">
        <v>7407.48</v>
      </c>
      <c r="D77" s="1" t="n">
        <v>4941.08</v>
      </c>
      <c r="E77" s="1" t="n">
        <v>6684.11</v>
      </c>
      <c r="F77" s="1" t="n">
        <v>3316.29</v>
      </c>
      <c r="G77" s="1" t="n">
        <v>9099.29</v>
      </c>
      <c r="H77" s="1" t="n">
        <v>8129.93</v>
      </c>
      <c r="J77" s="11" t="n">
        <f aca="false">SUM(C77:H77)</f>
        <v>39578.18</v>
      </c>
    </row>
    <row r="78" customFormat="false" ht="14.25" hidden="false" customHeight="false" outlineLevel="0" collapsed="false">
      <c r="A78" s="9" t="s">
        <v>87</v>
      </c>
      <c r="B78" s="9" t="s">
        <v>96</v>
      </c>
      <c r="C78" s="1" t="n">
        <v>20000</v>
      </c>
      <c r="D78" s="1" t="n">
        <v>20000</v>
      </c>
      <c r="E78" s="1" t="n">
        <v>20000</v>
      </c>
      <c r="F78" s="1" t="n">
        <v>20000</v>
      </c>
      <c r="G78" s="1" t="n">
        <v>20000</v>
      </c>
      <c r="H78" s="1" t="n">
        <v>20000</v>
      </c>
      <c r="J78" s="11" t="n">
        <f aca="false">SUM(C78:H78)</f>
        <v>120000</v>
      </c>
    </row>
    <row r="79" customFormat="false" ht="14.25" hidden="false" customHeight="false" outlineLevel="0" collapsed="false">
      <c r="A79" s="9" t="s">
        <v>87</v>
      </c>
      <c r="B79" s="9" t="s">
        <v>97</v>
      </c>
      <c r="C79" s="1" t="n">
        <v>658.29</v>
      </c>
      <c r="D79" s="1" t="n">
        <v>658.29</v>
      </c>
      <c r="E79" s="1" t="n">
        <v>658.29</v>
      </c>
      <c r="F79" s="1" t="n">
        <v>658.29</v>
      </c>
      <c r="G79" s="1" t="n">
        <v>658.29</v>
      </c>
      <c r="H79" s="1" t="n">
        <v>658.29</v>
      </c>
      <c r="J79" s="11" t="n">
        <f aca="false">SUM(C79:H79)</f>
        <v>3949.74</v>
      </c>
    </row>
    <row r="80" customFormat="false" ht="14.25" hidden="false" customHeight="false" outlineLevel="0" collapsed="false">
      <c r="A80" s="9" t="s">
        <v>87</v>
      </c>
      <c r="B80" s="9" t="s">
        <v>98</v>
      </c>
      <c r="C80" s="1" t="n">
        <v>24071.68</v>
      </c>
      <c r="D80" s="1" t="n">
        <v>24071.68</v>
      </c>
      <c r="E80" s="1" t="n">
        <v>24071.68</v>
      </c>
      <c r="F80" s="1" t="n">
        <v>24071.68</v>
      </c>
      <c r="G80" s="1" t="n">
        <v>24071.68</v>
      </c>
      <c r="H80" s="1" t="n">
        <v>24071.68</v>
      </c>
      <c r="J80" s="11" t="n">
        <f aca="false">SUM(C80:H80)</f>
        <v>144430.08</v>
      </c>
    </row>
    <row r="81" customFormat="false" ht="14.25" hidden="false" customHeight="false" outlineLevel="0" collapsed="false">
      <c r="A81" s="9" t="s">
        <v>87</v>
      </c>
      <c r="B81" s="9" t="s">
        <v>99</v>
      </c>
      <c r="C81" s="1" t="n">
        <v>14482.91</v>
      </c>
      <c r="D81" s="1" t="n">
        <v>14482.91</v>
      </c>
      <c r="E81" s="1" t="n">
        <v>14482.91</v>
      </c>
      <c r="F81" s="1" t="n">
        <v>14482.91</v>
      </c>
      <c r="G81" s="1" t="n">
        <v>14482.91</v>
      </c>
      <c r="H81" s="1" t="n">
        <v>14482.91</v>
      </c>
      <c r="J81" s="11" t="n">
        <f aca="false">SUM(C81:H81)</f>
        <v>86897.46</v>
      </c>
    </row>
    <row r="82" customFormat="false" ht="14.25" hidden="false" customHeight="false" outlineLevel="0" collapsed="false">
      <c r="A82" s="9" t="s">
        <v>87</v>
      </c>
      <c r="B82" s="9" t="s">
        <v>100</v>
      </c>
      <c r="C82" s="1" t="n">
        <v>28066.68</v>
      </c>
      <c r="D82" s="1" t="n">
        <v>26679.74</v>
      </c>
      <c r="E82" s="1" t="n">
        <v>26556.95</v>
      </c>
      <c r="F82" s="1" t="n">
        <v>26268.7</v>
      </c>
      <c r="G82" s="1" t="n">
        <v>26698.77</v>
      </c>
      <c r="H82" s="1" t="n">
        <v>24801.06</v>
      </c>
      <c r="J82" s="11" t="n">
        <f aca="false">SUM(C82:H82)</f>
        <v>159071.9</v>
      </c>
    </row>
    <row r="83" customFormat="false" ht="14.25" hidden="false" customHeight="false" outlineLevel="0" collapsed="false">
      <c r="A83" s="7"/>
      <c r="B83" s="7" t="s">
        <v>101</v>
      </c>
      <c r="C83" s="10"/>
      <c r="D83" s="10"/>
      <c r="E83" s="10"/>
      <c r="F83" s="10"/>
      <c r="G83" s="10"/>
      <c r="H83" s="10"/>
      <c r="J83" s="11" t="n">
        <f aca="false">SUM(C83:H83)</f>
        <v>0</v>
      </c>
    </row>
    <row r="84" customFormat="false" ht="14.25" hidden="false" customHeight="false" outlineLevel="0" collapsed="false">
      <c r="A84" s="9" t="s">
        <v>102</v>
      </c>
      <c r="B84" s="9" t="s">
        <v>103</v>
      </c>
      <c r="C84" s="1" t="n">
        <v>17751.72</v>
      </c>
      <c r="D84" s="1" t="n">
        <v>17751.72</v>
      </c>
      <c r="E84" s="1" t="n">
        <v>17751.72</v>
      </c>
      <c r="F84" s="1" t="n">
        <v>17751.72</v>
      </c>
      <c r="G84" s="1" t="n">
        <v>17751.72</v>
      </c>
      <c r="H84" s="1" t="n">
        <v>17751.72</v>
      </c>
      <c r="J84" s="11" t="n">
        <f aca="false">SUM(C84:H84)</f>
        <v>106510.32</v>
      </c>
    </row>
    <row r="85" customFormat="false" ht="14.25" hidden="false" customHeight="false" outlineLevel="0" collapsed="false">
      <c r="A85" s="7"/>
      <c r="B85" s="7" t="s">
        <v>104</v>
      </c>
      <c r="C85" s="10"/>
      <c r="D85" s="10"/>
      <c r="E85" s="10"/>
      <c r="F85" s="10"/>
      <c r="G85" s="10"/>
      <c r="H85" s="10"/>
      <c r="J85" s="11" t="n">
        <f aca="false">SUM(C85:H85)</f>
        <v>0</v>
      </c>
    </row>
    <row r="86" customFormat="false" ht="14.25" hidden="false" customHeight="false" outlineLevel="0" collapsed="false">
      <c r="A86" s="9" t="s">
        <v>105</v>
      </c>
      <c r="B86" s="9" t="s">
        <v>106</v>
      </c>
      <c r="C86" s="1" t="n">
        <v>135909.44</v>
      </c>
      <c r="D86" s="1" t="n">
        <v>135909.44</v>
      </c>
      <c r="E86" s="1" t="n">
        <v>135909.44</v>
      </c>
      <c r="F86" s="1" t="n">
        <v>135909.44</v>
      </c>
      <c r="G86" s="1" t="n">
        <v>135909.44</v>
      </c>
      <c r="H86" s="1" t="n">
        <v>135909.44</v>
      </c>
      <c r="J86" s="11" t="n">
        <f aca="false">SUM(C86:H86)</f>
        <v>815456.64</v>
      </c>
    </row>
    <row r="87" customFormat="false" ht="14.25" hidden="false" customHeight="false" outlineLevel="0" collapsed="false">
      <c r="A87" s="9" t="s">
        <v>107</v>
      </c>
      <c r="B87" s="9" t="s">
        <v>108</v>
      </c>
      <c r="C87" s="1" t="n">
        <v>-10578.14</v>
      </c>
      <c r="D87" s="1" t="n">
        <v>-6760.58</v>
      </c>
      <c r="E87" s="1" t="n">
        <v>-13751.02</v>
      </c>
      <c r="F87" s="1" t="n">
        <v>-13324.28</v>
      </c>
      <c r="G87" s="1" t="n">
        <v>-19221.86</v>
      </c>
      <c r="H87" s="1" t="n">
        <v>-14998.26</v>
      </c>
      <c r="J87" s="11" t="n">
        <f aca="false">SUM(C87:H87)</f>
        <v>-78634.14</v>
      </c>
    </row>
    <row r="88" customFormat="false" ht="14.25" hidden="false" customHeight="false" outlineLevel="0" collapsed="false">
      <c r="A88" s="9" t="s">
        <v>109</v>
      </c>
      <c r="B88" s="9" t="s">
        <v>110</v>
      </c>
      <c r="C88" s="1" t="n">
        <v>-226503.32</v>
      </c>
      <c r="D88" s="1" t="n">
        <v>-226503.32</v>
      </c>
      <c r="E88" s="1" t="n">
        <v>-226503.32</v>
      </c>
      <c r="F88" s="1" t="n">
        <v>-226503.32</v>
      </c>
      <c r="G88" s="1" t="n">
        <v>-226578.32</v>
      </c>
      <c r="H88" s="1" t="n">
        <v>-226578.32</v>
      </c>
      <c r="J88" s="11" t="n">
        <f aca="false">SUM(C88:H88)</f>
        <v>-1359169.92</v>
      </c>
    </row>
    <row r="89" customFormat="false" ht="14.25" hidden="false" customHeight="false" outlineLevel="0" collapsed="false">
      <c r="A89" s="9" t="s">
        <v>109</v>
      </c>
      <c r="B89" s="9" t="s">
        <v>111</v>
      </c>
      <c r="C89" s="1" t="n">
        <v>34894.11</v>
      </c>
      <c r="D89" s="1" t="n">
        <v>34894.11</v>
      </c>
      <c r="E89" s="1" t="n">
        <v>34894.11</v>
      </c>
      <c r="F89" s="1" t="n">
        <v>34894.11</v>
      </c>
      <c r="G89" s="1" t="n">
        <v>34894.11</v>
      </c>
      <c r="H89" s="1" t="n">
        <v>34894.11</v>
      </c>
      <c r="J89" s="11" t="n">
        <f aca="false">SUM(C89:H89)</f>
        <v>209364.66</v>
      </c>
    </row>
    <row r="90" customFormat="false" ht="14.25" hidden="false" customHeight="false" outlineLevel="0" collapsed="false">
      <c r="A90" s="9" t="s">
        <v>109</v>
      </c>
      <c r="B90" s="9" t="s">
        <v>112</v>
      </c>
      <c r="C90" s="1" t="n">
        <v>32022.91</v>
      </c>
      <c r="D90" s="1" t="n">
        <v>31835.27</v>
      </c>
      <c r="E90" s="1" t="n">
        <v>44612.69</v>
      </c>
      <c r="F90" s="1" t="n">
        <v>44425.05</v>
      </c>
      <c r="G90" s="1" t="n">
        <v>44237.41</v>
      </c>
      <c r="H90" s="1" t="n">
        <v>44049.77</v>
      </c>
      <c r="J90" s="11" t="n">
        <f aca="false">SUM(C90:H90)</f>
        <v>241183.1</v>
      </c>
      <c r="K90" s="11"/>
    </row>
    <row r="91" customFormat="false" ht="14.25" hidden="false" customHeight="false" outlineLevel="0" collapsed="false">
      <c r="C91" s="11"/>
      <c r="D91" s="11"/>
      <c r="E91" s="11"/>
      <c r="F91" s="11"/>
      <c r="G91" s="11"/>
      <c r="H91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2025-10-13T17:07:24Z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