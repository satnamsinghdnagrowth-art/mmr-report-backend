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C1B446F3-1F3F-4DF5-BD3D-D19A21FB7F3A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Balance Sheet" sheetId="1" r:id="rId1"/>
  </sheets>
  <calcPr calcId="181029"/>
</workbook>
</file>

<file path=xl/calcChain.xml><?xml version="1.0" encoding="utf-8"?>
<calcChain xmlns="http://schemas.openxmlformats.org/spreadsheetml/2006/main">
  <c r="C70" i="1" l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C55" i="1"/>
  <c r="C62" i="1" s="1"/>
  <c r="D55" i="1"/>
  <c r="E55" i="1"/>
  <c r="E62" i="1" s="1"/>
  <c r="F55" i="1"/>
  <c r="F62" i="1" s="1"/>
  <c r="G55" i="1"/>
  <c r="G62" i="1" s="1"/>
  <c r="H55" i="1"/>
  <c r="I55" i="1"/>
  <c r="I62" i="1" s="1"/>
  <c r="J55" i="1"/>
  <c r="J62" i="1" s="1"/>
  <c r="K55" i="1"/>
  <c r="K62" i="1" s="1"/>
  <c r="L55" i="1"/>
  <c r="M55" i="1"/>
  <c r="M62" i="1" s="1"/>
  <c r="N55" i="1"/>
  <c r="N62" i="1" s="1"/>
  <c r="O55" i="1"/>
  <c r="O62" i="1" s="1"/>
  <c r="P55" i="1"/>
  <c r="Q55" i="1"/>
  <c r="Q62" i="1" s="1"/>
  <c r="R55" i="1"/>
  <c r="R62" i="1" s="1"/>
  <c r="S55" i="1"/>
  <c r="S62" i="1" s="1"/>
  <c r="T55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C16" i="1"/>
  <c r="C40" i="1" s="1"/>
  <c r="C64" i="1" s="1"/>
  <c r="D16" i="1"/>
  <c r="E16" i="1"/>
  <c r="E40" i="1" s="1"/>
  <c r="E64" i="1" s="1"/>
  <c r="F16" i="1"/>
  <c r="F40" i="1" s="1"/>
  <c r="F64" i="1" s="1"/>
  <c r="G16" i="1"/>
  <c r="G40" i="1" s="1"/>
  <c r="G64" i="1" s="1"/>
  <c r="H16" i="1"/>
  <c r="I16" i="1"/>
  <c r="I40" i="1" s="1"/>
  <c r="I64" i="1" s="1"/>
  <c r="J16" i="1"/>
  <c r="J40" i="1" s="1"/>
  <c r="J64" i="1" s="1"/>
  <c r="K16" i="1"/>
  <c r="K40" i="1" s="1"/>
  <c r="K64" i="1" s="1"/>
  <c r="L16" i="1"/>
  <c r="M16" i="1"/>
  <c r="M40" i="1" s="1"/>
  <c r="M64" i="1" s="1"/>
  <c r="N16" i="1"/>
  <c r="N40" i="1" s="1"/>
  <c r="N64" i="1" s="1"/>
  <c r="O16" i="1"/>
  <c r="O40" i="1" s="1"/>
  <c r="O64" i="1" s="1"/>
  <c r="P16" i="1"/>
  <c r="Q16" i="1"/>
  <c r="Q40" i="1" s="1"/>
  <c r="Q64" i="1" s="1"/>
  <c r="R16" i="1"/>
  <c r="R40" i="1" s="1"/>
  <c r="R64" i="1" s="1"/>
  <c r="S16" i="1"/>
  <c r="S40" i="1" s="1"/>
  <c r="S64" i="1" s="1"/>
  <c r="T16" i="1"/>
  <c r="T40" i="1" l="1"/>
  <c r="T64" i="1" s="1"/>
  <c r="P40" i="1"/>
  <c r="L40" i="1"/>
  <c r="H40" i="1"/>
  <c r="D40" i="1"/>
  <c r="D64" i="1" s="1"/>
  <c r="T62" i="1"/>
  <c r="P62" i="1"/>
  <c r="L62" i="1"/>
  <c r="H62" i="1"/>
  <c r="D62" i="1"/>
  <c r="L64" i="1" l="1"/>
  <c r="H64" i="1"/>
  <c r="P64" i="1"/>
</calcChain>
</file>

<file path=xl/sharedStrings.xml><?xml version="1.0" encoding="utf-8"?>
<sst xmlns="http://schemas.openxmlformats.org/spreadsheetml/2006/main" count="83" uniqueCount="81">
  <si>
    <t>Balance Sheet</t>
  </si>
  <si>
    <t>Live Productions Australia Pty Ltd</t>
  </si>
  <si>
    <t>As at 30 November 2024</t>
  </si>
  <si>
    <t>Account</t>
  </si>
  <si>
    <t>30 Nov 2024</t>
  </si>
  <si>
    <t>31 Oct 2024</t>
  </si>
  <si>
    <t>30 Sept 2024</t>
  </si>
  <si>
    <t>31 Aug 2024</t>
  </si>
  <si>
    <t>31 July 2024</t>
  </si>
  <si>
    <t>30 June 2024</t>
  </si>
  <si>
    <t>31 May 2024</t>
  </si>
  <si>
    <t>30 Apr 2024</t>
  </si>
  <si>
    <t>31 Mar 2024</t>
  </si>
  <si>
    <t>29 Feb 2024</t>
  </si>
  <si>
    <t>31 Jan 2024</t>
  </si>
  <si>
    <t>31 Dec 2023</t>
  </si>
  <si>
    <t>30 Nov 2023</t>
  </si>
  <si>
    <t>31 Oct 2023</t>
  </si>
  <si>
    <t>30 Sept 2023</t>
  </si>
  <si>
    <t>31 Aug 2023</t>
  </si>
  <si>
    <t>31 July 2023</t>
  </si>
  <si>
    <t>30 June 2023</t>
  </si>
  <si>
    <t>Assets</t>
  </si>
  <si>
    <t>Bank</t>
  </si>
  <si>
    <t>ANZ Business One Credit Card (OLD)</t>
  </si>
  <si>
    <t>ANZ Commercial Card Account</t>
  </si>
  <si>
    <t>Macquarie Accelerator Account - Investments</t>
  </si>
  <si>
    <t>Macquarie Accelerator Account - Operations</t>
  </si>
  <si>
    <t>Macquarie CMA - Investments</t>
  </si>
  <si>
    <t>Tax and Liabilities Account 9011-66251</t>
  </si>
  <si>
    <t>Trading Account 4953-83989</t>
  </si>
  <si>
    <t>Total Bank</t>
  </si>
  <si>
    <t>Current Assets</t>
  </si>
  <si>
    <t>Accounts Receivable</t>
  </si>
  <si>
    <t>Cash on hand</t>
  </si>
  <si>
    <t>Electronic Clearing Account</t>
  </si>
  <si>
    <t>Loan - Ben Elliott (Completion Adjustments)</t>
  </si>
  <si>
    <t>Loan - Tom &amp; Anna Barne</t>
  </si>
  <si>
    <t>Total Current Assets</t>
  </si>
  <si>
    <t>Fixed Assets</t>
  </si>
  <si>
    <t>Equipment for Hire</t>
  </si>
  <si>
    <t>Fixtures &amp; Fittings</t>
  </si>
  <si>
    <t>Less Fixtures &amp; Fittings Accum Depn</t>
  </si>
  <si>
    <t>Less Hire Equipment Accum Depn</t>
  </si>
  <si>
    <t>Less M/V Accum Depn</t>
  </si>
  <si>
    <t>Less Office Equipment Accum Depn</t>
  </si>
  <si>
    <t>Less P&amp;E Accum Depn</t>
  </si>
  <si>
    <t>Motor Vehicles</t>
  </si>
  <si>
    <t>Office Equipment</t>
  </si>
  <si>
    <t>Plant &amp; Equipment</t>
  </si>
  <si>
    <t>Total Fixed Assets</t>
  </si>
  <si>
    <t>Non-current Assets</t>
  </si>
  <si>
    <t>GST Adjustment Account</t>
  </si>
  <si>
    <t>Rental Bond</t>
  </si>
  <si>
    <t>Total Non-current Assets</t>
  </si>
  <si>
    <t>Total Assets</t>
  </si>
  <si>
    <t>Liabilities</t>
  </si>
  <si>
    <t>Current Liabilities</t>
  </si>
  <si>
    <t>Accounts Payable</t>
  </si>
  <si>
    <t>Amex Cent</t>
  </si>
  <si>
    <t>Current Tax Payable</t>
  </si>
  <si>
    <t>GST</t>
  </si>
  <si>
    <t>Loan - Shadingfield Pty Ltd (Working Capital)</t>
  </si>
  <si>
    <t>Other Creditors/Accrued Expenses</t>
  </si>
  <si>
    <t>PAYG Withholding Tax Payable</t>
  </si>
  <si>
    <t>Rounding</t>
  </si>
  <si>
    <t>Superannuation Payable</t>
  </si>
  <si>
    <t>Total Current Liabilities</t>
  </si>
  <si>
    <t>Non-current Liabilities</t>
  </si>
  <si>
    <t>Accounts Payable Original</t>
  </si>
  <si>
    <t>Loan - Shadingfield (Bell Potter Portfolio)</t>
  </si>
  <si>
    <t>Loan - Shadingfield (Completion Adjustments)</t>
  </si>
  <si>
    <t>Shareholder Loan</t>
  </si>
  <si>
    <t>Total Non-current Liabilities</t>
  </si>
  <si>
    <t>Total Liabilities</t>
  </si>
  <si>
    <t>Net Assets</t>
  </si>
  <si>
    <t>Equity</t>
  </si>
  <si>
    <t>Current Year Earnings</t>
  </si>
  <si>
    <t>Issued Capital</t>
  </si>
  <si>
    <t>Retained Earnings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</si>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</sst>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"/>
  </numFmts>
  <fonts count="7" x14ac:knownFonts="1">
    <font>
      <sz val="9"/>
      <color theme="1"/>
      <name val="Arial"/>
    </font>
    <font>
      <sz val="14"/>
      <color theme="1"/>
      <name val="Arial"/>
    </font>
    <font>
      <b/>
      <sz val="14"/>
      <color theme="1"/>
      <name val="Arial"/>
    </font>
    <font>
      <sz val="12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9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164" fontId="0" fillId="0" borderId="2" xfId="0" applyNumberFormat="1" applyBorder="1" applyAlignment="1">
      <alignment horizontal="right" vertical="center"/>
    </xf>
    <xf numFmtId="0" fontId="6" fillId="0" borderId="2" xfId="0" applyFont="1" applyBorder="1" applyAlignment="1">
      <alignment vertical="center"/>
    </xf>
    <xf numFmtId="164" fontId="6" fillId="0" borderId="2" xfId="0" applyNumberFormat="1" applyFont="1" applyBorder="1" applyAlignment="1">
      <alignment horizontal="right" vertical="center"/>
    </xf>
    <xf numFmtId="0" fontId="6" fillId="2" borderId="3" xfId="0" applyFont="1" applyFill="1" applyBorder="1" applyAlignment="1">
      <alignment vertical="center"/>
    </xf>
    <xf numFmtId="164" fontId="6" fillId="2" borderId="3" xfId="0" applyNumberFormat="1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right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0"/>
  <sheetViews>
    <sheetView showGridLines="0" tabSelected="1" topLeftCell="A38" zoomScaleNormal="100" workbookViewId="0">
      <selection activeCell="G81" sqref="G81"/>
    </sheetView>
  </sheetViews>
  <sheetFormatPr defaultRowHeight="12" x14ac:dyDescent="0.2"/>
  <cols>
    <col min="1" max="1" width="1.42578125" customWidth="1"/>
    <col min="2" max="2" width="42.85546875" customWidth="1"/>
    <col min="3" max="3" width="14.140625" customWidth="1"/>
    <col min="4" max="4" width="13.42578125" customWidth="1"/>
    <col min="5" max="5" width="14.42578125" customWidth="1"/>
    <col min="6" max="6" width="14.140625" customWidth="1"/>
    <col min="7" max="7" width="14.28515625" customWidth="1"/>
    <col min="8" max="8" width="14.85546875" customWidth="1"/>
    <col min="9" max="9" width="14.7109375" customWidth="1"/>
    <col min="10" max="10" width="14.28515625" customWidth="1"/>
    <col min="11" max="11" width="14.42578125" customWidth="1"/>
    <col min="12" max="16" width="14.28515625" customWidth="1"/>
    <col min="17" max="17" width="14.42578125" customWidth="1"/>
    <col min="18" max="19" width="14.28515625" customWidth="1"/>
    <col min="20" max="20" width="14.85546875" customWidth="1"/>
  </cols>
  <sheetData>
    <row r="1" spans="1:20" s="1" customFormat="1" ht="16.7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s="3" customFormat="1" ht="14.4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s="3" customFormat="1" ht="14.4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ht="13.35" customHeight="1" x14ac:dyDescent="0.2">
      <c r="C4">
        <v>18</v>
      </c>
      <c r="D4">
        <v>17</v>
      </c>
      <c r="E4">
        <v>16</v>
      </c>
      <c r="F4">
        <v>15</v>
      </c>
      <c r="G4">
        <v>14</v>
      </c>
      <c r="H4">
        <v>13</v>
      </c>
      <c r="I4">
        <v>12</v>
      </c>
      <c r="J4">
        <v>11</v>
      </c>
      <c r="K4">
        <v>10</v>
      </c>
      <c r="L4">
        <v>9</v>
      </c>
      <c r="M4">
        <v>8</v>
      </c>
      <c r="N4">
        <v>7</v>
      </c>
      <c r="O4">
        <v>6</v>
      </c>
      <c r="P4">
        <v>5</v>
      </c>
      <c r="Q4">
        <v>4</v>
      </c>
      <c r="R4">
        <v>3</v>
      </c>
      <c r="S4">
        <v>2</v>
      </c>
      <c r="T4">
        <v>1</v>
      </c>
    </row>
    <row r="5" spans="1:20" s="5" customFormat="1" ht="12.2" customHeight="1" x14ac:dyDescent="0.2">
      <c r="A5" s="6"/>
      <c r="B5" s="7" t="s">
        <v>3</v>
      </c>
      <c r="C5" s="8" t="s">
        <v>21</v>
      </c>
      <c r="D5" s="8" t="s">
        <v>20</v>
      </c>
      <c r="E5" s="8" t="s">
        <v>19</v>
      </c>
      <c r="F5" s="8" t="s">
        <v>18</v>
      </c>
      <c r="G5" s="8" t="s">
        <v>17</v>
      </c>
      <c r="H5" s="8" t="s">
        <v>16</v>
      </c>
      <c r="I5" s="8" t="s">
        <v>15</v>
      </c>
      <c r="J5" s="8" t="s">
        <v>14</v>
      </c>
      <c r="K5" s="8" t="s">
        <v>13</v>
      </c>
      <c r="L5" s="8" t="s">
        <v>12</v>
      </c>
      <c r="M5" s="8" t="s">
        <v>11</v>
      </c>
      <c r="N5" s="8" t="s">
        <v>10</v>
      </c>
      <c r="O5" s="8" t="s">
        <v>9</v>
      </c>
      <c r="P5" s="8" t="s">
        <v>8</v>
      </c>
      <c r="Q5" s="8" t="s">
        <v>7</v>
      </c>
      <c r="R5" s="8" t="s">
        <v>6</v>
      </c>
      <c r="S5" s="8" t="s">
        <v>5</v>
      </c>
      <c r="T5" s="8" t="s">
        <v>4</v>
      </c>
    </row>
    <row r="6" spans="1:20" ht="13.35" customHeight="1" x14ac:dyDescent="0.2"/>
    <row r="7" spans="1:20" s="5" customFormat="1" ht="12.2" customHeight="1" x14ac:dyDescent="0.2">
      <c r="A7" s="6" t="s">
        <v>22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1:20" ht="10.9" customHeight="1" x14ac:dyDescent="0.2">
      <c r="A8" s="9"/>
      <c r="B8" s="9" t="s">
        <v>23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pans="1:20" ht="10.9" customHeight="1" x14ac:dyDescent="0.2">
      <c r="B9" s="10" t="s">
        <v>24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1856.83</v>
      </c>
      <c r="I9" s="11">
        <v>1295.26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</row>
    <row r="10" spans="1:20" ht="10.9" customHeight="1" x14ac:dyDescent="0.2">
      <c r="B10" s="10" t="s">
        <v>25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7173.68</v>
      </c>
      <c r="M10" s="11">
        <v>23131.67</v>
      </c>
      <c r="N10" s="11">
        <v>9536.91</v>
      </c>
      <c r="O10" s="11">
        <v>20945.46</v>
      </c>
      <c r="P10" s="11">
        <v>8892.32</v>
      </c>
      <c r="Q10" s="11">
        <v>0</v>
      </c>
      <c r="R10" s="11">
        <v>193.67</v>
      </c>
      <c r="S10" s="11">
        <v>3896.11</v>
      </c>
      <c r="T10" s="11">
        <v>1562.3</v>
      </c>
    </row>
    <row r="11" spans="1:20" ht="10.9" customHeight="1" x14ac:dyDescent="0.2">
      <c r="B11" s="10" t="s">
        <v>26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817427.9</v>
      </c>
      <c r="R11" s="11">
        <v>920917.29</v>
      </c>
      <c r="S11" s="11">
        <v>924544.29</v>
      </c>
      <c r="T11" s="11">
        <v>927950.63</v>
      </c>
    </row>
    <row r="12" spans="1:20" ht="10.9" customHeight="1" x14ac:dyDescent="0.2">
      <c r="B12" s="10" t="s">
        <v>27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100241.3</v>
      </c>
      <c r="T12" s="11">
        <v>100610.76</v>
      </c>
    </row>
    <row r="13" spans="1:20" ht="10.9" customHeight="1" x14ac:dyDescent="0.2">
      <c r="B13" s="10" t="s">
        <v>28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79.2</v>
      </c>
      <c r="R13" s="11">
        <v>0.12</v>
      </c>
      <c r="S13" s="11">
        <v>0.12</v>
      </c>
      <c r="T13" s="11">
        <v>0.12</v>
      </c>
    </row>
    <row r="14" spans="1:20" ht="10.9" customHeight="1" x14ac:dyDescent="0.2">
      <c r="B14" s="10" t="s">
        <v>29</v>
      </c>
      <c r="C14" s="11">
        <v>0.01</v>
      </c>
      <c r="D14" s="11">
        <v>0.01</v>
      </c>
      <c r="E14" s="11">
        <v>0.01</v>
      </c>
      <c r="F14" s="11">
        <v>0.01</v>
      </c>
      <c r="G14" s="11">
        <v>0.01</v>
      </c>
      <c r="H14" s="11">
        <v>0.01</v>
      </c>
      <c r="I14" s="11">
        <v>0.01</v>
      </c>
      <c r="J14" s="11">
        <v>0.01</v>
      </c>
      <c r="K14" s="11">
        <v>0.01</v>
      </c>
      <c r="L14" s="11">
        <v>0.01</v>
      </c>
      <c r="M14" s="11">
        <v>0.01</v>
      </c>
      <c r="N14" s="11">
        <v>0.01</v>
      </c>
      <c r="O14" s="11">
        <v>0.01</v>
      </c>
      <c r="P14" s="11">
        <v>0.01</v>
      </c>
      <c r="Q14" s="11">
        <v>0.01</v>
      </c>
      <c r="R14" s="11">
        <v>0.01</v>
      </c>
      <c r="S14" s="11">
        <v>75018.86</v>
      </c>
      <c r="T14" s="11">
        <v>85619.77</v>
      </c>
    </row>
    <row r="15" spans="1:20" ht="10.9" customHeight="1" x14ac:dyDescent="0.2">
      <c r="B15" s="10" t="s">
        <v>30</v>
      </c>
      <c r="C15" s="11">
        <v>1348101.95</v>
      </c>
      <c r="D15" s="11">
        <v>318688.59999999998</v>
      </c>
      <c r="E15" s="11">
        <v>460681.19</v>
      </c>
      <c r="F15" s="11">
        <v>475766.92</v>
      </c>
      <c r="G15" s="11">
        <v>756036.57</v>
      </c>
      <c r="H15" s="11">
        <v>936033.39</v>
      </c>
      <c r="I15" s="11">
        <v>585978.43999999994</v>
      </c>
      <c r="J15" s="11">
        <v>436454.01</v>
      </c>
      <c r="K15" s="11">
        <v>1270.97</v>
      </c>
      <c r="L15" s="11">
        <v>280365.90999999997</v>
      </c>
      <c r="M15" s="11">
        <v>294676.63</v>
      </c>
      <c r="N15" s="11">
        <v>297090.5</v>
      </c>
      <c r="O15" s="11">
        <v>243753.85</v>
      </c>
      <c r="P15" s="11">
        <v>166580.89000000001</v>
      </c>
      <c r="Q15" s="11">
        <v>151923.87</v>
      </c>
      <c r="R15" s="11">
        <v>152038.76999999999</v>
      </c>
      <c r="S15" s="11">
        <v>291078.89</v>
      </c>
      <c r="T15" s="11">
        <v>369351.02</v>
      </c>
    </row>
    <row r="16" spans="1:20" ht="10.9" customHeight="1" x14ac:dyDescent="0.2">
      <c r="B16" s="12" t="s">
        <v>31</v>
      </c>
      <c r="C16" s="13">
        <f t="shared" ref="C16:T16" si="0">SUM(C9:C15)</f>
        <v>1348101.96</v>
      </c>
      <c r="D16" s="13">
        <f t="shared" si="0"/>
        <v>318688.61</v>
      </c>
      <c r="E16" s="13">
        <f t="shared" si="0"/>
        <v>460681.2</v>
      </c>
      <c r="F16" s="13">
        <f t="shared" si="0"/>
        <v>475766.93</v>
      </c>
      <c r="G16" s="13">
        <f t="shared" si="0"/>
        <v>756036.58</v>
      </c>
      <c r="H16" s="13">
        <f t="shared" si="0"/>
        <v>937890.23</v>
      </c>
      <c r="I16" s="13">
        <f t="shared" si="0"/>
        <v>587273.71</v>
      </c>
      <c r="J16" s="13">
        <f t="shared" si="0"/>
        <v>436454.02</v>
      </c>
      <c r="K16" s="13">
        <f t="shared" si="0"/>
        <v>1270.98</v>
      </c>
      <c r="L16" s="13">
        <f t="shared" si="0"/>
        <v>287539.59999999998</v>
      </c>
      <c r="M16" s="13">
        <f t="shared" si="0"/>
        <v>317808.31</v>
      </c>
      <c r="N16" s="13">
        <f t="shared" si="0"/>
        <v>306627.42</v>
      </c>
      <c r="O16" s="13">
        <f t="shared" si="0"/>
        <v>264699.32</v>
      </c>
      <c r="P16" s="13">
        <f t="shared" si="0"/>
        <v>175473.22</v>
      </c>
      <c r="Q16" s="13">
        <f t="shared" si="0"/>
        <v>969430.98</v>
      </c>
      <c r="R16" s="13">
        <f t="shared" si="0"/>
        <v>1073149.8600000001</v>
      </c>
      <c r="S16" s="13">
        <f t="shared" si="0"/>
        <v>1394779.5700000003</v>
      </c>
      <c r="T16" s="13">
        <f t="shared" si="0"/>
        <v>1485094.6</v>
      </c>
    </row>
    <row r="17" spans="1:20" ht="10.9" customHeight="1" x14ac:dyDescent="0.2">
      <c r="A17" s="9"/>
      <c r="B17" s="9" t="s">
        <v>32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ht="10.9" customHeight="1" x14ac:dyDescent="0.2">
      <c r="B18" s="10" t="s">
        <v>33</v>
      </c>
      <c r="C18" s="11">
        <v>58362.98</v>
      </c>
      <c r="D18" s="11">
        <v>146255.25</v>
      </c>
      <c r="E18" s="11">
        <v>224334.97</v>
      </c>
      <c r="F18" s="11">
        <v>188235.3</v>
      </c>
      <c r="G18" s="11">
        <v>378824.64</v>
      </c>
      <c r="H18" s="11">
        <v>252352.33</v>
      </c>
      <c r="I18" s="11">
        <v>3343.33</v>
      </c>
      <c r="J18" s="11">
        <v>166810.16</v>
      </c>
      <c r="K18" s="11">
        <v>32617.75</v>
      </c>
      <c r="L18" s="11">
        <v>101267.64</v>
      </c>
      <c r="M18" s="11">
        <v>94206.74</v>
      </c>
      <c r="N18" s="11">
        <v>386217.91</v>
      </c>
      <c r="O18" s="11">
        <v>308833.28000000003</v>
      </c>
      <c r="P18" s="11">
        <v>112427.44</v>
      </c>
      <c r="Q18" s="11">
        <v>290861.89</v>
      </c>
      <c r="R18" s="11">
        <v>389045.08</v>
      </c>
      <c r="S18" s="11">
        <v>167626.35</v>
      </c>
      <c r="T18" s="11">
        <v>93012.09</v>
      </c>
    </row>
    <row r="19" spans="1:20" ht="10.9" customHeight="1" x14ac:dyDescent="0.2">
      <c r="B19" s="10" t="s">
        <v>34</v>
      </c>
      <c r="C19" s="11">
        <v>1000</v>
      </c>
      <c r="D19" s="11">
        <v>1000</v>
      </c>
      <c r="E19" s="11">
        <v>1000</v>
      </c>
      <c r="F19" s="11">
        <v>1000</v>
      </c>
      <c r="G19" s="11">
        <v>1000</v>
      </c>
      <c r="H19" s="11">
        <v>1000</v>
      </c>
      <c r="I19" s="11">
        <v>1000</v>
      </c>
      <c r="J19" s="11">
        <v>1000</v>
      </c>
      <c r="K19" s="11">
        <v>1000</v>
      </c>
      <c r="L19" s="11">
        <v>1000</v>
      </c>
      <c r="M19" s="11">
        <v>1000</v>
      </c>
      <c r="N19" s="11">
        <v>1000</v>
      </c>
      <c r="O19" s="11">
        <v>1000</v>
      </c>
      <c r="P19" s="11">
        <v>1000</v>
      </c>
      <c r="Q19" s="11">
        <v>1000</v>
      </c>
      <c r="R19" s="11">
        <v>1000</v>
      </c>
      <c r="S19" s="11">
        <v>1000</v>
      </c>
      <c r="T19" s="11">
        <v>1000</v>
      </c>
    </row>
    <row r="20" spans="1:20" ht="10.9" customHeight="1" x14ac:dyDescent="0.2">
      <c r="B20" s="10" t="s">
        <v>35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158</v>
      </c>
      <c r="M20" s="11">
        <v>0</v>
      </c>
      <c r="N20" s="11">
        <v>1853.2</v>
      </c>
      <c r="O20" s="11">
        <v>4942.28</v>
      </c>
      <c r="P20" s="11">
        <v>0</v>
      </c>
      <c r="Q20" s="11">
        <v>381.12</v>
      </c>
      <c r="R20" s="11">
        <v>0.1</v>
      </c>
      <c r="S20" s="11">
        <v>108.3</v>
      </c>
      <c r="T20" s="11">
        <v>968.1</v>
      </c>
    </row>
    <row r="21" spans="1:20" ht="10.9" customHeight="1" x14ac:dyDescent="0.2">
      <c r="B21" s="10" t="s">
        <v>36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337567</v>
      </c>
      <c r="M21" s="11">
        <v>249219</v>
      </c>
      <c r="N21" s="11">
        <v>249219</v>
      </c>
      <c r="O21" s="11">
        <v>159517</v>
      </c>
      <c r="P21" s="11">
        <v>159517</v>
      </c>
      <c r="Q21" s="11">
        <v>159517</v>
      </c>
      <c r="R21" s="11">
        <v>159517</v>
      </c>
      <c r="S21" s="11">
        <v>159517</v>
      </c>
      <c r="T21" s="11">
        <v>159517</v>
      </c>
    </row>
    <row r="22" spans="1:20" ht="10.9" customHeight="1" x14ac:dyDescent="0.2">
      <c r="B22" s="10" t="s">
        <v>37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62260</v>
      </c>
      <c r="P22" s="11">
        <v>62260</v>
      </c>
      <c r="Q22" s="11">
        <v>62260</v>
      </c>
      <c r="R22" s="11">
        <v>122260</v>
      </c>
      <c r="S22" s="11">
        <v>115074.88</v>
      </c>
      <c r="T22" s="11">
        <v>107889.76</v>
      </c>
    </row>
    <row r="23" spans="1:20" ht="10.9" customHeight="1" x14ac:dyDescent="0.2">
      <c r="B23" s="12" t="s">
        <v>38</v>
      </c>
      <c r="C23" s="13">
        <f t="shared" ref="C23:T23" si="1">SUM(C18:C22)</f>
        <v>59362.98</v>
      </c>
      <c r="D23" s="13">
        <f t="shared" si="1"/>
        <v>147255.25</v>
      </c>
      <c r="E23" s="13">
        <f t="shared" si="1"/>
        <v>225334.97</v>
      </c>
      <c r="F23" s="13">
        <f t="shared" si="1"/>
        <v>189235.3</v>
      </c>
      <c r="G23" s="13">
        <f t="shared" si="1"/>
        <v>379824.64000000001</v>
      </c>
      <c r="H23" s="13">
        <f t="shared" si="1"/>
        <v>253352.33</v>
      </c>
      <c r="I23" s="13">
        <f t="shared" si="1"/>
        <v>4343.33</v>
      </c>
      <c r="J23" s="13">
        <f t="shared" si="1"/>
        <v>167810.16</v>
      </c>
      <c r="K23" s="13">
        <f t="shared" si="1"/>
        <v>33617.75</v>
      </c>
      <c r="L23" s="13">
        <f t="shared" si="1"/>
        <v>439992.64</v>
      </c>
      <c r="M23" s="13">
        <f t="shared" si="1"/>
        <v>344425.74</v>
      </c>
      <c r="N23" s="13">
        <f t="shared" si="1"/>
        <v>638290.11</v>
      </c>
      <c r="O23" s="13">
        <f t="shared" si="1"/>
        <v>536552.56000000006</v>
      </c>
      <c r="P23" s="13">
        <f t="shared" si="1"/>
        <v>335204.44</v>
      </c>
      <c r="Q23" s="13">
        <f t="shared" si="1"/>
        <v>514020.01</v>
      </c>
      <c r="R23" s="13">
        <f t="shared" si="1"/>
        <v>671822.17999999993</v>
      </c>
      <c r="S23" s="13">
        <f t="shared" si="1"/>
        <v>443326.53</v>
      </c>
      <c r="T23" s="13">
        <f t="shared" si="1"/>
        <v>362386.95</v>
      </c>
    </row>
    <row r="24" spans="1:20" ht="10.9" customHeight="1" x14ac:dyDescent="0.2">
      <c r="A24" s="9"/>
      <c r="B24" s="9" t="s">
        <v>39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ht="10.9" customHeight="1" x14ac:dyDescent="0.2">
      <c r="B25" s="10" t="s">
        <v>40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14043.3</v>
      </c>
      <c r="I25" s="11">
        <v>18124.8</v>
      </c>
      <c r="J25" s="11">
        <v>18124.8</v>
      </c>
      <c r="K25" s="11">
        <v>18124.8</v>
      </c>
      <c r="L25" s="11">
        <v>7186.55</v>
      </c>
      <c r="M25" s="11">
        <v>9545.2800000000007</v>
      </c>
      <c r="N25" s="11">
        <v>25764.2</v>
      </c>
      <c r="O25" s="11">
        <v>29398.74</v>
      </c>
      <c r="P25" s="11">
        <v>29398.74</v>
      </c>
      <c r="Q25" s="11">
        <v>29398.74</v>
      </c>
      <c r="R25" s="11">
        <v>29398.74</v>
      </c>
      <c r="S25" s="11">
        <v>76099.75</v>
      </c>
      <c r="T25" s="11">
        <v>77533.58</v>
      </c>
    </row>
    <row r="26" spans="1:20" ht="10.9" customHeight="1" x14ac:dyDescent="0.2">
      <c r="B26" s="10" t="s">
        <v>41</v>
      </c>
      <c r="C26" s="11">
        <v>1116.5</v>
      </c>
      <c r="D26" s="11">
        <v>1116.5</v>
      </c>
      <c r="E26" s="11">
        <v>1116.5</v>
      </c>
      <c r="F26" s="11">
        <v>1116.5</v>
      </c>
      <c r="G26" s="11">
        <v>1116.5</v>
      </c>
      <c r="H26" s="11">
        <v>1116.5</v>
      </c>
      <c r="I26" s="11">
        <v>1116.5</v>
      </c>
      <c r="J26" s="11">
        <v>1116.5</v>
      </c>
      <c r="K26" s="11">
        <v>1116.5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</row>
    <row r="27" spans="1:20" ht="10.9" customHeight="1" x14ac:dyDescent="0.2">
      <c r="B27" s="10" t="s">
        <v>42</v>
      </c>
      <c r="C27" s="11">
        <v>-762.18</v>
      </c>
      <c r="D27" s="11">
        <v>-762.18</v>
      </c>
      <c r="E27" s="11">
        <v>-762.18</v>
      </c>
      <c r="F27" s="11">
        <v>-762.18</v>
      </c>
      <c r="G27" s="11">
        <v>-762.18</v>
      </c>
      <c r="H27" s="11">
        <v>-762.18</v>
      </c>
      <c r="I27" s="11">
        <v>-762.18</v>
      </c>
      <c r="J27" s="11">
        <v>-762.18</v>
      </c>
      <c r="K27" s="11">
        <v>-762.18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</row>
    <row r="28" spans="1:20" ht="10.9" customHeight="1" x14ac:dyDescent="0.2">
      <c r="B28" s="10" t="s">
        <v>43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-86.07</v>
      </c>
      <c r="M28" s="11">
        <v>-195.9</v>
      </c>
      <c r="N28" s="11">
        <v>-494.84</v>
      </c>
      <c r="O28" s="11">
        <v>-1091.1099999999999</v>
      </c>
      <c r="P28" s="11">
        <v>-1091.1099999999999</v>
      </c>
      <c r="Q28" s="11">
        <v>-1091.1099999999999</v>
      </c>
      <c r="R28" s="11">
        <v>-1091.1099999999999</v>
      </c>
      <c r="S28" s="11">
        <v>-1091.1099999999999</v>
      </c>
      <c r="T28" s="11">
        <v>-1091.1099999999999</v>
      </c>
    </row>
    <row r="29" spans="1:20" ht="10.9" customHeight="1" x14ac:dyDescent="0.2">
      <c r="B29" s="10" t="s">
        <v>44</v>
      </c>
      <c r="C29" s="11">
        <v>-44108.82</v>
      </c>
      <c r="D29" s="11">
        <v>-44108.82</v>
      </c>
      <c r="E29" s="11">
        <v>-44108.82</v>
      </c>
      <c r="F29" s="11">
        <v>-44108.82</v>
      </c>
      <c r="G29" s="11">
        <v>-44108.82</v>
      </c>
      <c r="H29" s="11">
        <v>-44108.82</v>
      </c>
      <c r="I29" s="11">
        <v>-44108.82</v>
      </c>
      <c r="J29" s="11">
        <v>-44108.82</v>
      </c>
      <c r="K29" s="11">
        <v>-44108.82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</row>
    <row r="30" spans="1:20" ht="10.9" customHeight="1" x14ac:dyDescent="0.2">
      <c r="B30" s="10" t="s">
        <v>45</v>
      </c>
      <c r="C30" s="11">
        <v>-3501.91</v>
      </c>
      <c r="D30" s="11">
        <v>-3501.91</v>
      </c>
      <c r="E30" s="11">
        <v>-3501.91</v>
      </c>
      <c r="F30" s="11">
        <v>-3501.91</v>
      </c>
      <c r="G30" s="11">
        <v>-3501.91</v>
      </c>
      <c r="H30" s="11">
        <v>-3501.91</v>
      </c>
      <c r="I30" s="11">
        <v>-3501.91</v>
      </c>
      <c r="J30" s="11">
        <v>-3501.91</v>
      </c>
      <c r="K30" s="11">
        <v>-3501.91</v>
      </c>
      <c r="L30" s="11">
        <v>0</v>
      </c>
      <c r="M30" s="11">
        <v>0</v>
      </c>
      <c r="N30" s="11">
        <v>-140.22</v>
      </c>
      <c r="O30" s="11">
        <v>-275.92</v>
      </c>
      <c r="P30" s="11">
        <v>-275.92</v>
      </c>
      <c r="Q30" s="11">
        <v>-275.92</v>
      </c>
      <c r="R30" s="11">
        <v>-275.92</v>
      </c>
      <c r="S30" s="11">
        <v>-275.92</v>
      </c>
      <c r="T30" s="11">
        <v>-275.92</v>
      </c>
    </row>
    <row r="31" spans="1:20" ht="10.9" customHeight="1" x14ac:dyDescent="0.2">
      <c r="B31" s="10" t="s">
        <v>46</v>
      </c>
      <c r="C31" s="11">
        <v>-111032.14</v>
      </c>
      <c r="D31" s="11">
        <v>-111032.14</v>
      </c>
      <c r="E31" s="11">
        <v>-111032.14</v>
      </c>
      <c r="F31" s="11">
        <v>-111032.14</v>
      </c>
      <c r="G31" s="11">
        <v>-111032.14</v>
      </c>
      <c r="H31" s="11">
        <v>-111032.14</v>
      </c>
      <c r="I31" s="11">
        <v>-111032.14</v>
      </c>
      <c r="J31" s="11">
        <v>-111032.14</v>
      </c>
      <c r="K31" s="11">
        <v>-111032.14</v>
      </c>
      <c r="L31" s="11">
        <v>0</v>
      </c>
      <c r="M31" s="11">
        <v>0</v>
      </c>
      <c r="N31" s="11">
        <v>0</v>
      </c>
      <c r="O31" s="11">
        <v>-28.93</v>
      </c>
      <c r="P31" s="11">
        <v>-28.93</v>
      </c>
      <c r="Q31" s="11">
        <v>-28.93</v>
      </c>
      <c r="R31" s="11">
        <v>-28.93</v>
      </c>
      <c r="S31" s="11">
        <v>-28.93</v>
      </c>
      <c r="T31" s="11">
        <v>-28.93</v>
      </c>
    </row>
    <row r="32" spans="1:20" ht="10.9" customHeight="1" x14ac:dyDescent="0.2">
      <c r="B32" s="10" t="s">
        <v>47</v>
      </c>
      <c r="C32" s="11">
        <v>47272.73</v>
      </c>
      <c r="D32" s="11">
        <v>47272.73</v>
      </c>
      <c r="E32" s="11">
        <v>47272.73</v>
      </c>
      <c r="F32" s="11">
        <v>47272.73</v>
      </c>
      <c r="G32" s="11">
        <v>47272.73</v>
      </c>
      <c r="H32" s="11">
        <v>47272.73</v>
      </c>
      <c r="I32" s="11">
        <v>47272.73</v>
      </c>
      <c r="J32" s="11">
        <v>47272.73</v>
      </c>
      <c r="K32" s="11">
        <v>47272.73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</row>
    <row r="33" spans="1:20" ht="10.9" customHeight="1" x14ac:dyDescent="0.2">
      <c r="B33" s="10" t="s">
        <v>48</v>
      </c>
      <c r="C33" s="11">
        <v>4041.45</v>
      </c>
      <c r="D33" s="11">
        <v>4041.45</v>
      </c>
      <c r="E33" s="11">
        <v>4041.45</v>
      </c>
      <c r="F33" s="11">
        <v>4041.45</v>
      </c>
      <c r="G33" s="11">
        <v>4041.45</v>
      </c>
      <c r="H33" s="11">
        <v>4041.45</v>
      </c>
      <c r="I33" s="11">
        <v>4041.45</v>
      </c>
      <c r="J33" s="11">
        <v>4041.45</v>
      </c>
      <c r="K33" s="11">
        <v>4041.45</v>
      </c>
      <c r="L33" s="11">
        <v>0</v>
      </c>
      <c r="M33" s="11">
        <v>0</v>
      </c>
      <c r="N33" s="11">
        <v>3311.08</v>
      </c>
      <c r="O33" s="11">
        <v>3311.08</v>
      </c>
      <c r="P33" s="11">
        <v>3311.08</v>
      </c>
      <c r="Q33" s="11">
        <v>3311.08</v>
      </c>
      <c r="R33" s="11">
        <v>4681.08</v>
      </c>
      <c r="S33" s="11">
        <v>6934.72</v>
      </c>
      <c r="T33" s="11">
        <v>7072.04</v>
      </c>
    </row>
    <row r="34" spans="1:20" ht="10.9" customHeight="1" x14ac:dyDescent="0.2">
      <c r="B34" s="10" t="s">
        <v>49</v>
      </c>
      <c r="C34" s="11">
        <v>121722.18</v>
      </c>
      <c r="D34" s="11">
        <v>121722.18</v>
      </c>
      <c r="E34" s="11">
        <v>121722.18</v>
      </c>
      <c r="F34" s="11">
        <v>121722.18</v>
      </c>
      <c r="G34" s="11">
        <v>121722.18</v>
      </c>
      <c r="H34" s="11">
        <v>121722.18</v>
      </c>
      <c r="I34" s="11">
        <v>121722.18</v>
      </c>
      <c r="J34" s="11">
        <v>121722.18</v>
      </c>
      <c r="K34" s="11">
        <v>121722.18</v>
      </c>
      <c r="L34" s="11">
        <v>0</v>
      </c>
      <c r="M34" s="11">
        <v>0</v>
      </c>
      <c r="N34" s="11">
        <v>0</v>
      </c>
      <c r="O34" s="11">
        <v>19410</v>
      </c>
      <c r="P34" s="11">
        <v>19410</v>
      </c>
      <c r="Q34" s="11">
        <v>19755.990000000002</v>
      </c>
      <c r="R34" s="11">
        <v>19755.990000000002</v>
      </c>
      <c r="S34" s="11">
        <v>19755.990000000002</v>
      </c>
      <c r="T34" s="11">
        <v>19755.990000000002</v>
      </c>
    </row>
    <row r="35" spans="1:20" ht="10.9" customHeight="1" x14ac:dyDescent="0.2">
      <c r="B35" s="12" t="s">
        <v>50</v>
      </c>
      <c r="C35" s="13">
        <f t="shared" ref="C35:T35" si="2">SUM(C25:C34)</f>
        <v>14747.810000000012</v>
      </c>
      <c r="D35" s="13">
        <f t="shared" si="2"/>
        <v>14747.810000000012</v>
      </c>
      <c r="E35" s="13">
        <f t="shared" si="2"/>
        <v>14747.810000000012</v>
      </c>
      <c r="F35" s="13">
        <f t="shared" si="2"/>
        <v>14747.810000000012</v>
      </c>
      <c r="G35" s="13">
        <f t="shared" si="2"/>
        <v>14747.810000000012</v>
      </c>
      <c r="H35" s="13">
        <f t="shared" si="2"/>
        <v>28791.11</v>
      </c>
      <c r="I35" s="13">
        <f t="shared" si="2"/>
        <v>32872.61</v>
      </c>
      <c r="J35" s="13">
        <f t="shared" si="2"/>
        <v>32872.61</v>
      </c>
      <c r="K35" s="13">
        <f t="shared" si="2"/>
        <v>32872.61</v>
      </c>
      <c r="L35" s="13">
        <f t="shared" si="2"/>
        <v>7100.4800000000005</v>
      </c>
      <c r="M35" s="13">
        <f t="shared" si="2"/>
        <v>9349.380000000001</v>
      </c>
      <c r="N35" s="13">
        <f t="shared" si="2"/>
        <v>28440.22</v>
      </c>
      <c r="O35" s="13">
        <f t="shared" si="2"/>
        <v>50723.86</v>
      </c>
      <c r="P35" s="13">
        <f t="shared" si="2"/>
        <v>50723.86</v>
      </c>
      <c r="Q35" s="13">
        <f t="shared" si="2"/>
        <v>51069.850000000006</v>
      </c>
      <c r="R35" s="13">
        <f t="shared" si="2"/>
        <v>52439.850000000006</v>
      </c>
      <c r="S35" s="13">
        <f t="shared" si="2"/>
        <v>101394.50000000001</v>
      </c>
      <c r="T35" s="13">
        <f t="shared" si="2"/>
        <v>102965.65000000001</v>
      </c>
    </row>
    <row r="36" spans="1:20" ht="10.9" customHeight="1" x14ac:dyDescent="0.2">
      <c r="A36" s="9"/>
      <c r="B36" s="9" t="s">
        <v>51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ht="10.9" customHeight="1" x14ac:dyDescent="0.2">
      <c r="B37" s="10" t="s">
        <v>52</v>
      </c>
      <c r="C37" s="11">
        <v>-849.73</v>
      </c>
      <c r="D37" s="11">
        <v>-849.73</v>
      </c>
      <c r="E37" s="11">
        <v>-849.73</v>
      </c>
      <c r="F37" s="11">
        <v>-849.73</v>
      </c>
      <c r="G37" s="11">
        <v>-849.73</v>
      </c>
      <c r="H37" s="11">
        <v>-849.73</v>
      </c>
      <c r="I37" s="11">
        <v>-849.73</v>
      </c>
      <c r="J37" s="11">
        <v>-849.73</v>
      </c>
      <c r="K37" s="11">
        <v>-849.73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</row>
    <row r="38" spans="1:20" ht="10.9" customHeight="1" x14ac:dyDescent="0.2">
      <c r="B38" s="10" t="s">
        <v>53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10987.8</v>
      </c>
      <c r="J38" s="11">
        <v>10987.8</v>
      </c>
      <c r="K38" s="11">
        <v>10987.8</v>
      </c>
      <c r="L38" s="11">
        <v>10987.8</v>
      </c>
      <c r="M38" s="11">
        <v>10987.8</v>
      </c>
      <c r="N38" s="11">
        <v>61862.8</v>
      </c>
      <c r="O38" s="11">
        <v>61862.8</v>
      </c>
      <c r="P38" s="11">
        <v>50875</v>
      </c>
      <c r="Q38" s="11">
        <v>50875</v>
      </c>
      <c r="R38" s="11">
        <v>50875</v>
      </c>
      <c r="S38" s="11">
        <v>50875</v>
      </c>
      <c r="T38" s="11">
        <v>50875</v>
      </c>
    </row>
    <row r="39" spans="1:20" ht="10.9" customHeight="1" x14ac:dyDescent="0.2">
      <c r="B39" s="12" t="s">
        <v>54</v>
      </c>
      <c r="C39" s="13">
        <f t="shared" ref="C39:T39" si="3">SUM(C37:C38)</f>
        <v>-849.73</v>
      </c>
      <c r="D39" s="13">
        <f t="shared" si="3"/>
        <v>-849.73</v>
      </c>
      <c r="E39" s="13">
        <f t="shared" si="3"/>
        <v>-849.73</v>
      </c>
      <c r="F39" s="13">
        <f t="shared" si="3"/>
        <v>-849.73</v>
      </c>
      <c r="G39" s="13">
        <f t="shared" si="3"/>
        <v>-849.73</v>
      </c>
      <c r="H39" s="13">
        <f t="shared" si="3"/>
        <v>-849.73</v>
      </c>
      <c r="I39" s="13">
        <f t="shared" si="3"/>
        <v>10138.07</v>
      </c>
      <c r="J39" s="13">
        <f t="shared" si="3"/>
        <v>10138.07</v>
      </c>
      <c r="K39" s="13">
        <f t="shared" si="3"/>
        <v>10138.07</v>
      </c>
      <c r="L39" s="13">
        <f t="shared" si="3"/>
        <v>10987.8</v>
      </c>
      <c r="M39" s="13">
        <f t="shared" si="3"/>
        <v>10987.8</v>
      </c>
      <c r="N39" s="13">
        <f t="shared" si="3"/>
        <v>61862.8</v>
      </c>
      <c r="O39" s="13">
        <f t="shared" si="3"/>
        <v>61862.8</v>
      </c>
      <c r="P39" s="13">
        <f t="shared" si="3"/>
        <v>50875</v>
      </c>
      <c r="Q39" s="13">
        <f t="shared" si="3"/>
        <v>50875</v>
      </c>
      <c r="R39" s="13">
        <f t="shared" si="3"/>
        <v>50875</v>
      </c>
      <c r="S39" s="13">
        <f t="shared" si="3"/>
        <v>50875</v>
      </c>
      <c r="T39" s="13">
        <f t="shared" si="3"/>
        <v>50875</v>
      </c>
    </row>
    <row r="40" spans="1:20" ht="10.9" customHeight="1" x14ac:dyDescent="0.2">
      <c r="A40" s="12" t="s">
        <v>55</v>
      </c>
      <c r="C40" s="13">
        <f t="shared" ref="C40:T40" si="4">(0 + (((C16 + C23) + C35) + C39))</f>
        <v>1421363.02</v>
      </c>
      <c r="D40" s="13">
        <f t="shared" si="4"/>
        <v>479841.94</v>
      </c>
      <c r="E40" s="13">
        <f t="shared" si="4"/>
        <v>699914.25000000012</v>
      </c>
      <c r="F40" s="13">
        <f t="shared" si="4"/>
        <v>678900.31</v>
      </c>
      <c r="G40" s="13">
        <f t="shared" si="4"/>
        <v>1149759.3</v>
      </c>
      <c r="H40" s="13">
        <f t="shared" si="4"/>
        <v>1219183.9400000002</v>
      </c>
      <c r="I40" s="13">
        <f t="shared" si="4"/>
        <v>634627.71999999986</v>
      </c>
      <c r="J40" s="13">
        <f t="shared" si="4"/>
        <v>647274.86</v>
      </c>
      <c r="K40" s="13">
        <f t="shared" si="4"/>
        <v>77899.41</v>
      </c>
      <c r="L40" s="13">
        <f t="shared" si="4"/>
        <v>745620.52</v>
      </c>
      <c r="M40" s="13">
        <f t="shared" si="4"/>
        <v>682571.2300000001</v>
      </c>
      <c r="N40" s="13">
        <f t="shared" si="4"/>
        <v>1035220.55</v>
      </c>
      <c r="O40" s="13">
        <f t="shared" si="4"/>
        <v>913838.54000000015</v>
      </c>
      <c r="P40" s="13">
        <f t="shared" si="4"/>
        <v>612276.52</v>
      </c>
      <c r="Q40" s="13">
        <f t="shared" si="4"/>
        <v>1585395.84</v>
      </c>
      <c r="R40" s="13">
        <f t="shared" si="4"/>
        <v>1848286.8900000001</v>
      </c>
      <c r="S40" s="13">
        <f t="shared" si="4"/>
        <v>1990375.6000000003</v>
      </c>
      <c r="T40" s="13">
        <f t="shared" si="4"/>
        <v>2001322.2</v>
      </c>
    </row>
    <row r="41" spans="1:20" ht="13.35" customHeight="1" x14ac:dyDescent="0.2"/>
    <row r="42" spans="1:20" s="5" customFormat="1" ht="12.2" customHeight="1" x14ac:dyDescent="0.2">
      <c r="A42" s="6" t="s">
        <v>56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spans="1:20" ht="10.9" customHeight="1" x14ac:dyDescent="0.2">
      <c r="A43" s="9"/>
      <c r="B43" s="9" t="s">
        <v>57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ht="10.9" customHeight="1" x14ac:dyDescent="0.2">
      <c r="B44" s="10" t="s">
        <v>58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126428.93</v>
      </c>
      <c r="M44" s="11">
        <v>145778.34</v>
      </c>
      <c r="N44" s="11">
        <v>285223.99</v>
      </c>
      <c r="O44" s="11">
        <v>66739.600000000006</v>
      </c>
      <c r="P44" s="11">
        <v>56154.64</v>
      </c>
      <c r="Q44" s="11">
        <v>58558.01</v>
      </c>
      <c r="R44" s="11">
        <v>105452.59</v>
      </c>
      <c r="S44" s="11">
        <v>131473.51999999999</v>
      </c>
      <c r="T44" s="11">
        <v>153561.82</v>
      </c>
    </row>
    <row r="45" spans="1:20" ht="10.9" customHeight="1" x14ac:dyDescent="0.2">
      <c r="B45" s="10" t="s">
        <v>59</v>
      </c>
      <c r="C45" s="11">
        <v>7009.15</v>
      </c>
      <c r="D45" s="11">
        <v>14642.4</v>
      </c>
      <c r="E45" s="11">
        <v>19821.34</v>
      </c>
      <c r="F45" s="11">
        <v>13641.51</v>
      </c>
      <c r="G45" s="11">
        <v>22555.17</v>
      </c>
      <c r="H45" s="11">
        <v>14955.87</v>
      </c>
      <c r="I45" s="11">
        <v>7007.1</v>
      </c>
      <c r="J45" s="11">
        <v>12621.68</v>
      </c>
      <c r="K45" s="11">
        <v>1059.04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</row>
    <row r="46" spans="1:20" ht="10.9" customHeight="1" x14ac:dyDescent="0.2">
      <c r="B46" s="10" t="s">
        <v>24</v>
      </c>
      <c r="C46" s="11">
        <v>2096.59</v>
      </c>
      <c r="D46" s="11">
        <v>310.66000000000003</v>
      </c>
      <c r="E46" s="11">
        <v>1487.74</v>
      </c>
      <c r="F46" s="11">
        <v>1118.45</v>
      </c>
      <c r="G46" s="11">
        <v>2212.27</v>
      </c>
      <c r="H46" s="11">
        <v>0</v>
      </c>
      <c r="I46" s="11">
        <v>0</v>
      </c>
      <c r="J46" s="11">
        <v>563.19000000000005</v>
      </c>
      <c r="K46" s="11">
        <v>7.93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</row>
    <row r="47" spans="1:20" ht="10.9" customHeight="1" x14ac:dyDescent="0.2">
      <c r="B47" s="10" t="s">
        <v>25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2529.21</v>
      </c>
      <c r="R47" s="11">
        <v>0</v>
      </c>
      <c r="S47" s="11">
        <v>0</v>
      </c>
      <c r="T47" s="11">
        <v>0</v>
      </c>
    </row>
    <row r="48" spans="1:20" ht="10.9" customHeight="1" x14ac:dyDescent="0.2">
      <c r="B48" s="10" t="s">
        <v>60</v>
      </c>
      <c r="C48" s="11">
        <v>48401.75</v>
      </c>
      <c r="D48" s="11">
        <v>48401.75</v>
      </c>
      <c r="E48" s="11">
        <v>48401.75</v>
      </c>
      <c r="F48" s="11">
        <v>-20036.25</v>
      </c>
      <c r="G48" s="11">
        <v>-20036.25</v>
      </c>
      <c r="H48" s="11">
        <v>-68359.25</v>
      </c>
      <c r="I48" s="11">
        <v>-68359.25</v>
      </c>
      <c r="J48" s="11">
        <v>-68359.25</v>
      </c>
      <c r="K48" s="11">
        <v>-153685.25</v>
      </c>
      <c r="L48" s="11">
        <v>155151.75</v>
      </c>
      <c r="M48" s="11">
        <v>155151.75</v>
      </c>
      <c r="N48" s="11">
        <v>155151.75</v>
      </c>
      <c r="O48" s="11">
        <v>116692.75</v>
      </c>
      <c r="P48" s="11">
        <v>178808.75</v>
      </c>
      <c r="Q48" s="11">
        <v>116692.75</v>
      </c>
      <c r="R48" s="11">
        <v>116692.75</v>
      </c>
      <c r="S48" s="11">
        <v>116692.75</v>
      </c>
      <c r="T48" s="11">
        <v>54576.75</v>
      </c>
    </row>
    <row r="49" spans="1:20" ht="10.9" customHeight="1" x14ac:dyDescent="0.2">
      <c r="B49" s="10" t="s">
        <v>61</v>
      </c>
      <c r="C49" s="11">
        <v>91462</v>
      </c>
      <c r="D49" s="11">
        <v>137675.45000000001</v>
      </c>
      <c r="E49" s="11">
        <v>185430.56</v>
      </c>
      <c r="F49" s="11">
        <v>179463.64</v>
      </c>
      <c r="G49" s="11">
        <v>232810.99</v>
      </c>
      <c r="H49" s="11">
        <v>151886.57999999999</v>
      </c>
      <c r="I49" s="11">
        <v>148767.29</v>
      </c>
      <c r="J49" s="11">
        <v>154693.29999999999</v>
      </c>
      <c r="K49" s="11">
        <v>77861.08</v>
      </c>
      <c r="L49" s="11">
        <v>0.2</v>
      </c>
      <c r="M49" s="11">
        <v>-3200.03</v>
      </c>
      <c r="N49" s="11">
        <v>25362.78</v>
      </c>
      <c r="O49" s="11">
        <v>45450</v>
      </c>
      <c r="P49" s="11">
        <v>50954.02</v>
      </c>
      <c r="Q49" s="11">
        <v>29042.69</v>
      </c>
      <c r="R49" s="11">
        <v>59072.99</v>
      </c>
      <c r="S49" s="11">
        <v>77849.48</v>
      </c>
      <c r="T49" s="11">
        <v>41600.839999999997</v>
      </c>
    </row>
    <row r="50" spans="1:20" ht="10.9" customHeight="1" x14ac:dyDescent="0.2">
      <c r="B50" s="10" t="s">
        <v>62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327356.76</v>
      </c>
      <c r="M50" s="11">
        <v>327356.76</v>
      </c>
      <c r="N50" s="11">
        <v>327356.76</v>
      </c>
      <c r="O50" s="11">
        <v>359483.94</v>
      </c>
      <c r="P50" s="11">
        <v>109483.94</v>
      </c>
      <c r="Q50" s="11">
        <v>109483.94</v>
      </c>
      <c r="R50" s="11">
        <v>109483.94</v>
      </c>
      <c r="S50" s="11">
        <v>89483.94</v>
      </c>
      <c r="T50" s="11">
        <v>89483.94</v>
      </c>
    </row>
    <row r="51" spans="1:20" ht="10.9" customHeight="1" x14ac:dyDescent="0.2">
      <c r="B51" s="10" t="s">
        <v>63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62116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</row>
    <row r="52" spans="1:20" ht="10.9" customHeight="1" x14ac:dyDescent="0.2">
      <c r="B52" s="10" t="s">
        <v>64</v>
      </c>
      <c r="C52" s="11">
        <v>-16608</v>
      </c>
      <c r="D52" s="11">
        <v>-5143</v>
      </c>
      <c r="E52" s="11">
        <v>7340</v>
      </c>
      <c r="F52" s="11">
        <v>-5143</v>
      </c>
      <c r="G52" s="11">
        <v>6322</v>
      </c>
      <c r="H52" s="11">
        <v>-5307</v>
      </c>
      <c r="I52" s="11">
        <v>6409</v>
      </c>
      <c r="J52" s="11">
        <v>5416</v>
      </c>
      <c r="K52" s="11">
        <v>-1327</v>
      </c>
      <c r="L52" s="11">
        <v>10698</v>
      </c>
      <c r="M52" s="11">
        <v>10698</v>
      </c>
      <c r="N52" s="11">
        <v>30640</v>
      </c>
      <c r="O52" s="11">
        <v>42593</v>
      </c>
      <c r="P52" s="11">
        <v>42593</v>
      </c>
      <c r="Q52" s="11">
        <v>14360</v>
      </c>
      <c r="R52" s="11">
        <v>16760</v>
      </c>
      <c r="S52" s="11">
        <v>34565</v>
      </c>
      <c r="T52" s="11">
        <v>20679</v>
      </c>
    </row>
    <row r="53" spans="1:20" ht="10.9" customHeight="1" x14ac:dyDescent="0.2">
      <c r="B53" s="10" t="s">
        <v>65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-2</v>
      </c>
      <c r="M53" s="11">
        <v>-12.18</v>
      </c>
      <c r="N53" s="11">
        <v>-18.559999999999999</v>
      </c>
      <c r="O53" s="11">
        <v>0</v>
      </c>
      <c r="P53" s="11">
        <v>-8.93</v>
      </c>
      <c r="Q53" s="11">
        <v>-59.55</v>
      </c>
      <c r="R53" s="11">
        <v>-59.36</v>
      </c>
      <c r="S53" s="11">
        <v>-59.35</v>
      </c>
      <c r="T53" s="11">
        <v>-59.34</v>
      </c>
    </row>
    <row r="54" spans="1:20" ht="10.9" customHeight="1" x14ac:dyDescent="0.2">
      <c r="B54" s="10" t="s">
        <v>66</v>
      </c>
      <c r="C54" s="11">
        <v>-1865.88</v>
      </c>
      <c r="D54" s="11">
        <v>3309.74</v>
      </c>
      <c r="E54" s="11">
        <v>9309.32</v>
      </c>
      <c r="F54" s="11">
        <v>9011.69</v>
      </c>
      <c r="G54" s="11">
        <v>14433.77</v>
      </c>
      <c r="H54" s="11">
        <v>3332.66</v>
      </c>
      <c r="I54" s="11">
        <v>8834.3700000000008</v>
      </c>
      <c r="J54" s="11">
        <v>2950.15</v>
      </c>
      <c r="K54" s="11">
        <v>10266.59</v>
      </c>
      <c r="L54" s="11">
        <v>246.46</v>
      </c>
      <c r="M54" s="11">
        <v>246.46</v>
      </c>
      <c r="N54" s="11">
        <v>13768.42</v>
      </c>
      <c r="O54" s="11">
        <v>11246.46</v>
      </c>
      <c r="P54" s="11">
        <v>18433.97</v>
      </c>
      <c r="Q54" s="11">
        <v>25621.48</v>
      </c>
      <c r="R54" s="11">
        <v>33498.99</v>
      </c>
      <c r="S54" s="11">
        <v>8465.2900000000009</v>
      </c>
      <c r="T54" s="11">
        <v>18144.71</v>
      </c>
    </row>
    <row r="55" spans="1:20" ht="10.9" customHeight="1" x14ac:dyDescent="0.2">
      <c r="B55" s="12" t="s">
        <v>67</v>
      </c>
      <c r="C55" s="13">
        <f t="shared" ref="C55:T55" si="5">SUM(C44:C54)</f>
        <v>130495.60999999999</v>
      </c>
      <c r="D55" s="13">
        <f t="shared" si="5"/>
        <v>199197</v>
      </c>
      <c r="E55" s="13">
        <f t="shared" si="5"/>
        <v>271790.71000000002</v>
      </c>
      <c r="F55" s="13">
        <f t="shared" si="5"/>
        <v>178056.04</v>
      </c>
      <c r="G55" s="13">
        <f t="shared" si="5"/>
        <v>258297.94999999998</v>
      </c>
      <c r="H55" s="13">
        <f t="shared" si="5"/>
        <v>96508.859999999986</v>
      </c>
      <c r="I55" s="13">
        <f t="shared" si="5"/>
        <v>102658.51000000001</v>
      </c>
      <c r="J55" s="13">
        <f t="shared" si="5"/>
        <v>107885.06999999998</v>
      </c>
      <c r="K55" s="13">
        <f t="shared" si="5"/>
        <v>-65817.61</v>
      </c>
      <c r="L55" s="13">
        <f t="shared" si="5"/>
        <v>619880.1</v>
      </c>
      <c r="M55" s="13">
        <f t="shared" si="5"/>
        <v>636019.09999999986</v>
      </c>
      <c r="N55" s="13">
        <f t="shared" si="5"/>
        <v>837485.14</v>
      </c>
      <c r="O55" s="13">
        <f t="shared" si="5"/>
        <v>704321.75</v>
      </c>
      <c r="P55" s="13">
        <f t="shared" si="5"/>
        <v>456419.39</v>
      </c>
      <c r="Q55" s="13">
        <f t="shared" si="5"/>
        <v>356228.52999999997</v>
      </c>
      <c r="R55" s="13">
        <f t="shared" si="5"/>
        <v>440901.9</v>
      </c>
      <c r="S55" s="13">
        <f t="shared" si="5"/>
        <v>458470.63</v>
      </c>
      <c r="T55" s="13">
        <f t="shared" si="5"/>
        <v>377987.72</v>
      </c>
    </row>
    <row r="56" spans="1:20" ht="10.9" customHeight="1" x14ac:dyDescent="0.2">
      <c r="A56" s="9"/>
      <c r="B56" s="9" t="s">
        <v>68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ht="10.9" customHeight="1" x14ac:dyDescent="0.2">
      <c r="B57" s="10" t="s">
        <v>69</v>
      </c>
      <c r="C57" s="11">
        <v>9185</v>
      </c>
      <c r="D57" s="11">
        <v>9185</v>
      </c>
      <c r="E57" s="11">
        <v>9185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</row>
    <row r="58" spans="1:20" ht="10.9" customHeight="1" x14ac:dyDescent="0.2">
      <c r="B58" s="10" t="s">
        <v>70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917000</v>
      </c>
      <c r="R58" s="11">
        <v>917000</v>
      </c>
      <c r="S58" s="11">
        <v>917000</v>
      </c>
      <c r="T58" s="11">
        <v>917000</v>
      </c>
    </row>
    <row r="59" spans="1:20" ht="10.9" customHeight="1" x14ac:dyDescent="0.2">
      <c r="B59" s="10" t="s">
        <v>71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337567</v>
      </c>
      <c r="M59" s="11">
        <v>337567</v>
      </c>
      <c r="N59" s="11">
        <v>337567</v>
      </c>
      <c r="O59" s="11">
        <v>337567</v>
      </c>
      <c r="P59" s="11">
        <v>337567</v>
      </c>
      <c r="Q59" s="11">
        <v>337567</v>
      </c>
      <c r="R59" s="11">
        <v>337567</v>
      </c>
      <c r="S59" s="11">
        <v>337567</v>
      </c>
      <c r="T59" s="11">
        <v>337567</v>
      </c>
    </row>
    <row r="60" spans="1:20" ht="10.9" customHeight="1" x14ac:dyDescent="0.2">
      <c r="B60" s="10" t="s">
        <v>72</v>
      </c>
      <c r="C60" s="11">
        <v>-928337.05</v>
      </c>
      <c r="D60" s="11">
        <v>-2359337.5099999998</v>
      </c>
      <c r="E60" s="11">
        <v>-2560337.7400000002</v>
      </c>
      <c r="F60" s="11">
        <v>-2560337.7400000002</v>
      </c>
      <c r="G60" s="11">
        <v>-2560337.7400000002</v>
      </c>
      <c r="H60" s="11">
        <v>-2560337.7400000002</v>
      </c>
      <c r="I60" s="11">
        <v>-3060437.74</v>
      </c>
      <c r="J60" s="11">
        <v>-3060693.26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</row>
    <row r="61" spans="1:20" ht="10.9" customHeight="1" x14ac:dyDescent="0.2">
      <c r="B61" s="12" t="s">
        <v>73</v>
      </c>
      <c r="C61" s="13">
        <f t="shared" ref="C61:T61" si="6">SUM(C57:C60)</f>
        <v>-919152.05</v>
      </c>
      <c r="D61" s="13">
        <f t="shared" si="6"/>
        <v>-2350152.5099999998</v>
      </c>
      <c r="E61" s="13">
        <f t="shared" si="6"/>
        <v>-2551152.7400000002</v>
      </c>
      <c r="F61" s="13">
        <f t="shared" si="6"/>
        <v>-2560337.7400000002</v>
      </c>
      <c r="G61" s="13">
        <f t="shared" si="6"/>
        <v>-2560337.7400000002</v>
      </c>
      <c r="H61" s="13">
        <f t="shared" si="6"/>
        <v>-2560337.7400000002</v>
      </c>
      <c r="I61" s="13">
        <f t="shared" si="6"/>
        <v>-3060437.74</v>
      </c>
      <c r="J61" s="13">
        <f t="shared" si="6"/>
        <v>-3060693.26</v>
      </c>
      <c r="K61" s="13">
        <f t="shared" si="6"/>
        <v>0</v>
      </c>
      <c r="L61" s="13">
        <f t="shared" si="6"/>
        <v>337567</v>
      </c>
      <c r="M61" s="13">
        <f t="shared" si="6"/>
        <v>337567</v>
      </c>
      <c r="N61" s="13">
        <f t="shared" si="6"/>
        <v>337567</v>
      </c>
      <c r="O61" s="13">
        <f t="shared" si="6"/>
        <v>337567</v>
      </c>
      <c r="P61" s="13">
        <f t="shared" si="6"/>
        <v>337567</v>
      </c>
      <c r="Q61" s="13">
        <f t="shared" si="6"/>
        <v>1254567</v>
      </c>
      <c r="R61" s="13">
        <f t="shared" si="6"/>
        <v>1254567</v>
      </c>
      <c r="S61" s="13">
        <f t="shared" si="6"/>
        <v>1254567</v>
      </c>
      <c r="T61" s="13">
        <f t="shared" si="6"/>
        <v>1254567</v>
      </c>
    </row>
    <row r="62" spans="1:20" ht="10.9" customHeight="1" x14ac:dyDescent="0.2">
      <c r="A62" s="12" t="s">
        <v>74</v>
      </c>
      <c r="C62" s="13">
        <f t="shared" ref="C62:T62" si="7">(0 + (C55 + C61))</f>
        <v>-788656.44000000006</v>
      </c>
      <c r="D62" s="13">
        <f t="shared" si="7"/>
        <v>-2150955.5099999998</v>
      </c>
      <c r="E62" s="13">
        <f t="shared" si="7"/>
        <v>-2279362.0300000003</v>
      </c>
      <c r="F62" s="13">
        <f t="shared" si="7"/>
        <v>-2382281.7000000002</v>
      </c>
      <c r="G62" s="13">
        <f t="shared" si="7"/>
        <v>-2302039.79</v>
      </c>
      <c r="H62" s="13">
        <f t="shared" si="7"/>
        <v>-2463828.8800000004</v>
      </c>
      <c r="I62" s="13">
        <f t="shared" si="7"/>
        <v>-2957779.2300000004</v>
      </c>
      <c r="J62" s="13">
        <f t="shared" si="7"/>
        <v>-2952808.19</v>
      </c>
      <c r="K62" s="13">
        <f t="shared" si="7"/>
        <v>-65817.61</v>
      </c>
      <c r="L62" s="13">
        <f t="shared" si="7"/>
        <v>957447.1</v>
      </c>
      <c r="M62" s="13">
        <f t="shared" si="7"/>
        <v>973586.09999999986</v>
      </c>
      <c r="N62" s="13">
        <f t="shared" si="7"/>
        <v>1175052.1400000001</v>
      </c>
      <c r="O62" s="13">
        <f t="shared" si="7"/>
        <v>1041888.75</v>
      </c>
      <c r="P62" s="13">
        <f t="shared" si="7"/>
        <v>793986.39</v>
      </c>
      <c r="Q62" s="13">
        <f t="shared" si="7"/>
        <v>1610795.53</v>
      </c>
      <c r="R62" s="13">
        <f t="shared" si="7"/>
        <v>1695468.9</v>
      </c>
      <c r="S62" s="13">
        <f t="shared" si="7"/>
        <v>1713037.63</v>
      </c>
      <c r="T62" s="13">
        <f t="shared" si="7"/>
        <v>1632554.72</v>
      </c>
    </row>
    <row r="63" spans="1:20" ht="13.35" customHeight="1" x14ac:dyDescent="0.2"/>
    <row r="64" spans="1:20" ht="10.9" customHeight="1" x14ac:dyDescent="0.2">
      <c r="B64" s="14" t="s">
        <v>75</v>
      </c>
      <c r="C64" s="15">
        <f t="shared" ref="C64:T64" si="8">(C40 - C62)</f>
        <v>2210019.46</v>
      </c>
      <c r="D64" s="15">
        <f t="shared" si="8"/>
        <v>2630797.4499999997</v>
      </c>
      <c r="E64" s="15">
        <f t="shared" si="8"/>
        <v>2979276.2800000003</v>
      </c>
      <c r="F64" s="15">
        <f t="shared" si="8"/>
        <v>3061182.0100000002</v>
      </c>
      <c r="G64" s="15">
        <f t="shared" si="8"/>
        <v>3451799.09</v>
      </c>
      <c r="H64" s="15">
        <f t="shared" si="8"/>
        <v>3683012.8200000003</v>
      </c>
      <c r="I64" s="15">
        <f t="shared" si="8"/>
        <v>3592406.95</v>
      </c>
      <c r="J64" s="15">
        <f t="shared" si="8"/>
        <v>3600083.05</v>
      </c>
      <c r="K64" s="15">
        <f t="shared" si="8"/>
        <v>143717.02000000002</v>
      </c>
      <c r="L64" s="15">
        <f t="shared" si="8"/>
        <v>-211826.57999999996</v>
      </c>
      <c r="M64" s="15">
        <f t="shared" si="8"/>
        <v>-291014.86999999976</v>
      </c>
      <c r="N64" s="15">
        <f t="shared" si="8"/>
        <v>-139831.59000000008</v>
      </c>
      <c r="O64" s="15">
        <f t="shared" si="8"/>
        <v>-128050.20999999985</v>
      </c>
      <c r="P64" s="15">
        <f t="shared" si="8"/>
        <v>-181709.87</v>
      </c>
      <c r="Q64" s="15">
        <f t="shared" si="8"/>
        <v>-25399.689999999944</v>
      </c>
      <c r="R64" s="15">
        <f t="shared" si="8"/>
        <v>152817.99000000022</v>
      </c>
      <c r="S64" s="15">
        <f t="shared" si="8"/>
        <v>277337.97000000044</v>
      </c>
      <c r="T64" s="15">
        <f t="shared" si="8"/>
        <v>368767.48</v>
      </c>
    </row>
    <row r="65" spans="1:20" ht="13.35" customHeight="1" x14ac:dyDescent="0.2"/>
    <row r="66" spans="1:20" s="5" customFormat="1" ht="12.2" customHeight="1" x14ac:dyDescent="0.2">
      <c r="A66" s="6" t="s">
        <v>76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spans="1:20" ht="10.9" customHeight="1" x14ac:dyDescent="0.2">
      <c r="B67" s="16" t="s">
        <v>77</v>
      </c>
      <c r="C67" s="17">
        <v>476244.15</v>
      </c>
      <c r="D67" s="17">
        <v>420777.99</v>
      </c>
      <c r="E67" s="17">
        <v>769256.82</v>
      </c>
      <c r="F67" s="17">
        <v>851162.55</v>
      </c>
      <c r="G67" s="17">
        <v>1241779.6299999999</v>
      </c>
      <c r="H67" s="17">
        <v>1472993.36</v>
      </c>
      <c r="I67" s="17">
        <v>1382387.49</v>
      </c>
      <c r="J67" s="17">
        <v>1390063.59</v>
      </c>
      <c r="K67" s="17">
        <v>-2066302.44</v>
      </c>
      <c r="L67" s="17">
        <v>-2421846.04</v>
      </c>
      <c r="M67" s="17">
        <v>-2501034.33</v>
      </c>
      <c r="N67" s="17">
        <v>-2349851.0499999998</v>
      </c>
      <c r="O67" s="17">
        <v>-2338069.67</v>
      </c>
      <c r="P67" s="17">
        <v>-53659.66</v>
      </c>
      <c r="Q67" s="17">
        <v>102650.52</v>
      </c>
      <c r="R67" s="17">
        <v>280868.2</v>
      </c>
      <c r="S67" s="17">
        <v>405388.18</v>
      </c>
      <c r="T67" s="17">
        <v>496817.69</v>
      </c>
    </row>
    <row r="68" spans="1:20" ht="10.9" customHeight="1" x14ac:dyDescent="0.2">
      <c r="B68" s="10" t="s">
        <v>78</v>
      </c>
      <c r="C68" s="11">
        <v>2000</v>
      </c>
      <c r="D68" s="11">
        <v>2000</v>
      </c>
      <c r="E68" s="11">
        <v>2000</v>
      </c>
      <c r="F68" s="11">
        <v>2000</v>
      </c>
      <c r="G68" s="11">
        <v>2000</v>
      </c>
      <c r="H68" s="11">
        <v>2000</v>
      </c>
      <c r="I68" s="11">
        <v>2000</v>
      </c>
      <c r="J68" s="11">
        <v>2000</v>
      </c>
      <c r="K68" s="11">
        <v>2000</v>
      </c>
      <c r="L68" s="11">
        <v>2000</v>
      </c>
      <c r="M68" s="11">
        <v>2000</v>
      </c>
      <c r="N68" s="11">
        <v>2000</v>
      </c>
      <c r="O68" s="11">
        <v>2000</v>
      </c>
      <c r="P68" s="11">
        <v>2000</v>
      </c>
      <c r="Q68" s="11">
        <v>2000</v>
      </c>
      <c r="R68" s="11">
        <v>2000</v>
      </c>
      <c r="S68" s="11">
        <v>2000</v>
      </c>
      <c r="T68" s="11">
        <v>2000</v>
      </c>
    </row>
    <row r="69" spans="1:20" ht="10.9" customHeight="1" x14ac:dyDescent="0.2">
      <c r="B69" s="10" t="s">
        <v>79</v>
      </c>
      <c r="C69" s="11">
        <v>1731775.31</v>
      </c>
      <c r="D69" s="11">
        <v>2208019.46</v>
      </c>
      <c r="E69" s="11">
        <v>2208019.46</v>
      </c>
      <c r="F69" s="11">
        <v>2208019.46</v>
      </c>
      <c r="G69" s="11">
        <v>2208019.46</v>
      </c>
      <c r="H69" s="11">
        <v>2208019.46</v>
      </c>
      <c r="I69" s="11">
        <v>2208019.46</v>
      </c>
      <c r="J69" s="11">
        <v>2208019.46</v>
      </c>
      <c r="K69" s="11">
        <v>2208019.46</v>
      </c>
      <c r="L69" s="11">
        <v>2208019.46</v>
      </c>
      <c r="M69" s="11">
        <v>2208019.46</v>
      </c>
      <c r="N69" s="11">
        <v>2208019.46</v>
      </c>
      <c r="O69" s="11">
        <v>2208019.46</v>
      </c>
      <c r="P69" s="11">
        <v>-130050.21</v>
      </c>
      <c r="Q69" s="11">
        <v>-130050.21</v>
      </c>
      <c r="R69" s="11">
        <v>-130050.21</v>
      </c>
      <c r="S69" s="11">
        <v>-130050.21</v>
      </c>
      <c r="T69" s="11">
        <v>-130050.21</v>
      </c>
    </row>
    <row r="70" spans="1:20" ht="10.9" customHeight="1" x14ac:dyDescent="0.2">
      <c r="A70" s="12" t="s">
        <v>80</v>
      </c>
      <c r="C70" s="13">
        <f t="shared" ref="C70:T70" si="9">SUM(C67:C69)</f>
        <v>2210019.46</v>
      </c>
      <c r="D70" s="13">
        <f t="shared" si="9"/>
        <v>2630797.4500000002</v>
      </c>
      <c r="E70" s="13">
        <f t="shared" si="9"/>
        <v>2979276.28</v>
      </c>
      <c r="F70" s="13">
        <f t="shared" si="9"/>
        <v>3061182.01</v>
      </c>
      <c r="G70" s="13">
        <f t="shared" si="9"/>
        <v>3451799.09</v>
      </c>
      <c r="H70" s="13">
        <f t="shared" si="9"/>
        <v>3683012.8200000003</v>
      </c>
      <c r="I70" s="13">
        <f t="shared" si="9"/>
        <v>3592406.95</v>
      </c>
      <c r="J70" s="13">
        <f t="shared" si="9"/>
        <v>3600083.05</v>
      </c>
      <c r="K70" s="13">
        <f t="shared" si="9"/>
        <v>143717.02000000002</v>
      </c>
      <c r="L70" s="13">
        <f t="shared" si="9"/>
        <v>-211826.58000000007</v>
      </c>
      <c r="M70" s="13">
        <f t="shared" si="9"/>
        <v>-291014.87000000011</v>
      </c>
      <c r="N70" s="13">
        <f t="shared" si="9"/>
        <v>-139831.58999999985</v>
      </c>
      <c r="O70" s="13">
        <f t="shared" si="9"/>
        <v>-128050.20999999996</v>
      </c>
      <c r="P70" s="13">
        <f t="shared" si="9"/>
        <v>-181709.87</v>
      </c>
      <c r="Q70" s="13">
        <f t="shared" si="9"/>
        <v>-25399.690000000002</v>
      </c>
      <c r="R70" s="13">
        <f t="shared" si="9"/>
        <v>152817.99</v>
      </c>
      <c r="S70" s="13">
        <f t="shared" si="9"/>
        <v>277337.96999999997</v>
      </c>
      <c r="T70" s="13">
        <f t="shared" si="9"/>
        <v>368767.48</v>
      </c>
    </row>
  </sheetData>
  <sortState xmlns:xlrd2="http://schemas.microsoft.com/office/spreadsheetml/2017/richdata2" columnSort="1" ref="C4:T70">
    <sortCondition descending="1" ref="C4:T4"/>
  </sortState>
  <pageMargins left="0.7" right="0.7" top="0.75" bottom="0.75" header="0.3" footer="0.3"/>
  <pageSetup paperSize="9" fitToWidth="0" fitToHeight="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Raveena Thakur</cp:lastModifiedBy>
  <dcterms:created xsi:type="dcterms:W3CDTF">2025-04-16T11:48:39Z</dcterms:created>
  <dcterms:modified xsi:type="dcterms:W3CDTF">2025-04-16T11:48:39Z</dcterms:modified>
</cp:coreProperties>
</file>