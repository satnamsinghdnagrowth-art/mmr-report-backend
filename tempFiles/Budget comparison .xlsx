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test" sheetId="2" state="visible" r:id="rId4"/>
  </sheets>
  <externalReferences>
    <externalReference r:id="rId5"/>
  </externalReferenc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<sst xmlns="http://schemas.openxmlformats.org/spreadsheetml/2006/main" count="32" uniqueCount="31">
  <si>
    <t xml:space="preserve">Account </t>
  </si>
  <si>
    <t xml:space="preserve">Budget</t>
  </si>
  <si>
    <t xml:space="preserve">Actual Value</t>
  </si>
  <si>
    <t xml:space="preserve">Variance</t>
  </si>
  <si>
    <t xml:space="preserve">Variance%</t>
  </si>
  <si>
    <t xml:space="preserve">MMR</t>
  </si>
  <si>
    <t xml:space="preserve">Tier 1</t>
  </si>
  <si>
    <t xml:space="preserve">Tier 2</t>
  </si>
  <si>
    <t xml:space="preserve">KPI</t>
  </si>
  <si>
    <t xml:space="preserve">This Month</t>
  </si>
  <si>
    <t xml:space="preserve">Last Month</t>
  </si>
  <si>
    <t xml:space="preserve">Variance %</t>
  </si>
  <si>
    <t xml:space="preserve">YTD</t>
  </si>
  <si>
    <t xml:space="preserve">Core Saas Metrics</t>
  </si>
  <si>
    <t xml:space="preserve">MRR</t>
  </si>
  <si>
    <t xml:space="preserve">ARR</t>
  </si>
  <si>
    <t xml:space="preserve">Sales &amp; Growth </t>
  </si>
  <si>
    <t xml:space="preserve">CAC</t>
  </si>
  <si>
    <t xml:space="preserve">LTV</t>
  </si>
  <si>
    <t xml:space="preserve">LTV Ratio</t>
  </si>
  <si>
    <t xml:space="preserve">Go-to-Market</t>
  </si>
  <si>
    <t xml:space="preserve">Total Customer Count</t>
  </si>
  <si>
    <t xml:space="preserve">Live</t>
  </si>
  <si>
    <t xml:space="preserve">Implementation</t>
  </si>
  <si>
    <t xml:space="preserve">Capital Efficiency</t>
  </si>
  <si>
    <t xml:space="preserve">Cash RunWay</t>
  </si>
  <si>
    <t xml:space="preserve">6 Month</t>
  </si>
  <si>
    <t xml:space="preserve">Burn Rate</t>
  </si>
  <si>
    <t xml:space="preserve">Profitability</t>
  </si>
  <si>
    <t xml:space="preserve">Gross Margin</t>
  </si>
  <si>
    <t xml:space="preserve">Operating Margin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</si>
</sst>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3" xfId="1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4" xfId="19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Downloads/DXone%20ERP%20May%202025_07.11.2025-1200%20(1)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ial Data"/>
      <sheetName val="Sheet1"/>
      <sheetName val="KPI Sheet"/>
    </sheetNames>
    <sheetDataSet>
      <sheetData sheetId="0">
        <row r="9">
          <cell r="F9">
            <v>0</v>
          </cell>
          <cell r="G9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9.3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2" t="s">
        <v>5</v>
      </c>
      <c r="B2" s="2" t="n">
        <v>2345</v>
      </c>
      <c r="C2" s="2" t="n">
        <v>2355</v>
      </c>
      <c r="D2" s="2" t="n">
        <v>343</v>
      </c>
      <c r="E2" s="4" t="n">
        <v>0.34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2" t="s">
        <v>6</v>
      </c>
      <c r="B3" s="2" t="n">
        <v>234</v>
      </c>
      <c r="C3" s="2" t="n">
        <v>2344</v>
      </c>
      <c r="D3" s="2" t="n">
        <v>12</v>
      </c>
      <c r="E3" s="4" t="n">
        <v>0.23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2" t="s">
        <v>7</v>
      </c>
      <c r="B4" s="2" t="n">
        <v>2344</v>
      </c>
      <c r="C4" s="2" t="n">
        <v>234</v>
      </c>
      <c r="D4" s="2" t="n">
        <v>23</v>
      </c>
      <c r="E4" s="4" t="n">
        <v>3.44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2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"/>
      <c r="B7" s="2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"/>
      <c r="B8" s="2"/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2"/>
      <c r="B9" s="2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2"/>
      <c r="B11" s="2"/>
      <c r="C11" s="2"/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2"/>
      <c r="B12" s="2"/>
      <c r="C12" s="2"/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2"/>
      <c r="B13" s="2"/>
      <c r="C13" s="2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2"/>
      <c r="B14" s="2"/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5"/>
      <c r="B17" s="5"/>
      <c r="C17" s="5"/>
      <c r="D17" s="5"/>
      <c r="E17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0" activeCellId="0" sqref="U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6" width="22.25"/>
    <col collapsed="false" customWidth="false" hidden="false" outlineLevel="0" max="16384" min="2" style="6" width="11.53"/>
  </cols>
  <sheetData>
    <row r="1" customFormat="false" ht="31.3" hidden="false" customHeight="false" outlineLevel="0" collapsed="false">
      <c r="A1" s="7" t="s">
        <v>8</v>
      </c>
      <c r="B1" s="7" t="s">
        <v>9</v>
      </c>
      <c r="C1" s="7" t="s">
        <v>10</v>
      </c>
      <c r="D1" s="7" t="s">
        <v>3</v>
      </c>
      <c r="E1" s="7" t="s">
        <v>11</v>
      </c>
      <c r="F1" s="7" t="s">
        <v>12</v>
      </c>
    </row>
    <row r="2" customFormat="false" ht="16.4" hidden="false" customHeight="false" outlineLevel="0" collapsed="false">
      <c r="A2" s="8" t="s">
        <v>13</v>
      </c>
      <c r="B2" s="9"/>
      <c r="C2" s="9"/>
      <c r="D2" s="9"/>
      <c r="E2" s="9"/>
      <c r="F2" s="9"/>
    </row>
    <row r="3" customFormat="false" ht="16.4" hidden="false" customHeight="false" outlineLevel="0" collapsed="false">
      <c r="A3" s="10" t="s">
        <v>14</v>
      </c>
      <c r="B3" s="11" t="n">
        <f aca="false">'[1]Financial Data'!G6+'[1]Financial Data'!G9</f>
        <v>0</v>
      </c>
      <c r="C3" s="11" t="n">
        <f aca="false">'[1]Financial Data'!F6+'[1]Financial Data'!F9</f>
        <v>0</v>
      </c>
      <c r="D3" s="12" t="n">
        <f aca="false">(B3-C3)</f>
        <v>0</v>
      </c>
      <c r="E3" s="13" t="n">
        <f aca="false">IFERROR(D3/C3,0)</f>
        <v>0</v>
      </c>
      <c r="F3" s="14" t="n">
        <v>5665</v>
      </c>
    </row>
    <row r="4" customFormat="false" ht="16.4" hidden="false" customHeight="false" outlineLevel="0" collapsed="false">
      <c r="A4" s="10" t="s">
        <v>15</v>
      </c>
      <c r="B4" s="14" t="n">
        <f aca="false">B3*12</f>
        <v>0</v>
      </c>
      <c r="C4" s="14" t="n">
        <f aca="false">C3*12</f>
        <v>0</v>
      </c>
      <c r="D4" s="12" t="n">
        <f aca="false">(B4-C4)</f>
        <v>0</v>
      </c>
      <c r="E4" s="13" t="n">
        <f aca="false">IFERROR(D4/C4,0)</f>
        <v>0</v>
      </c>
      <c r="F4" s="14" t="n">
        <f aca="false">F3*12</f>
        <v>67980</v>
      </c>
    </row>
    <row r="5" customFormat="false" ht="16.4" hidden="false" customHeight="false" outlineLevel="0" collapsed="false">
      <c r="A5" s="15" t="s">
        <v>16</v>
      </c>
      <c r="B5" s="14"/>
      <c r="C5" s="14"/>
      <c r="D5" s="14"/>
      <c r="E5" s="14"/>
      <c r="F5" s="14"/>
    </row>
    <row r="6" customFormat="false" ht="16.4" hidden="false" customHeight="false" outlineLevel="0" collapsed="false">
      <c r="A6" s="10" t="s">
        <v>17</v>
      </c>
      <c r="B6" s="14" t="n">
        <v>0</v>
      </c>
      <c r="C6" s="14" t="n">
        <v>0</v>
      </c>
      <c r="D6" s="12" t="n">
        <f aca="false">(B6-C6)</f>
        <v>0</v>
      </c>
      <c r="E6" s="13" t="n">
        <f aca="false">IFERROR(D6/C6,0)</f>
        <v>0</v>
      </c>
      <c r="F6" s="14" t="n">
        <v>0</v>
      </c>
    </row>
    <row r="7" customFormat="false" ht="16.4" hidden="false" customHeight="false" outlineLevel="0" collapsed="false">
      <c r="A7" s="10" t="s">
        <v>18</v>
      </c>
      <c r="B7" s="14" t="n">
        <v>328</v>
      </c>
      <c r="C7" s="14" t="n">
        <v>328</v>
      </c>
      <c r="D7" s="12" t="n">
        <f aca="false">(B7-C7)</f>
        <v>0</v>
      </c>
      <c r="E7" s="13" t="n">
        <f aca="false">IFERROR(D7/C7,0)</f>
        <v>0</v>
      </c>
      <c r="F7" s="14" t="n">
        <v>0</v>
      </c>
    </row>
    <row r="8" customFormat="false" ht="16.4" hidden="false" customHeight="false" outlineLevel="0" collapsed="false">
      <c r="A8" s="10" t="s">
        <v>19</v>
      </c>
      <c r="B8" s="14" t="n">
        <v>0</v>
      </c>
      <c r="C8" s="14" t="n">
        <v>0</v>
      </c>
      <c r="D8" s="12" t="n">
        <f aca="false">(B8-C8)</f>
        <v>0</v>
      </c>
      <c r="E8" s="13" t="n">
        <f aca="false">IFERROR(D8/C8,0)</f>
        <v>0</v>
      </c>
      <c r="F8" s="14" t="n">
        <v>0</v>
      </c>
    </row>
    <row r="9" customFormat="false" ht="16.4" hidden="false" customHeight="false" outlineLevel="0" collapsed="false">
      <c r="A9" s="15" t="s">
        <v>20</v>
      </c>
      <c r="B9" s="14"/>
      <c r="C9" s="14"/>
      <c r="D9" s="14"/>
      <c r="E9" s="14"/>
      <c r="F9" s="14"/>
    </row>
    <row r="10" customFormat="false" ht="16.4" hidden="false" customHeight="false" outlineLevel="0" collapsed="false">
      <c r="A10" s="10" t="s">
        <v>21</v>
      </c>
      <c r="B10" s="14" t="n">
        <f aca="false">SUM(B11:B12)</f>
        <v>16</v>
      </c>
      <c r="C10" s="14" t="n">
        <f aca="false">SUM(C11:C12)</f>
        <v>16</v>
      </c>
      <c r="D10" s="12" t="n">
        <f aca="false">(B10-C10)</f>
        <v>0</v>
      </c>
      <c r="E10" s="13" t="n">
        <f aca="false">IFERROR(D10/C10,0)</f>
        <v>0</v>
      </c>
      <c r="F10" s="14" t="n">
        <f aca="false">SUM(F11:F12)</f>
        <v>16</v>
      </c>
    </row>
    <row r="11" customFormat="false" ht="16.4" hidden="false" customHeight="false" outlineLevel="0" collapsed="false">
      <c r="A11" s="10" t="s">
        <v>22</v>
      </c>
      <c r="B11" s="14" t="n">
        <v>16</v>
      </c>
      <c r="C11" s="14" t="n">
        <v>16</v>
      </c>
      <c r="D11" s="12" t="n">
        <f aca="false">(B11-C11)</f>
        <v>0</v>
      </c>
      <c r="E11" s="13" t="n">
        <f aca="false">IFERROR(D11/C11,0)</f>
        <v>0</v>
      </c>
      <c r="F11" s="14" t="n">
        <v>16</v>
      </c>
    </row>
    <row r="12" customFormat="false" ht="16.4" hidden="false" customHeight="false" outlineLevel="0" collapsed="false">
      <c r="A12" s="10" t="s">
        <v>23</v>
      </c>
      <c r="B12" s="14" t="n">
        <v>0</v>
      </c>
      <c r="C12" s="14" t="n">
        <v>0</v>
      </c>
      <c r="D12" s="12" t="n">
        <f aca="false">(B12-C12)</f>
        <v>0</v>
      </c>
      <c r="E12" s="13" t="n">
        <f aca="false">IFERROR(D12/C12,0)</f>
        <v>0</v>
      </c>
      <c r="F12" s="14" t="n">
        <v>0</v>
      </c>
    </row>
    <row r="13" customFormat="false" ht="16.4" hidden="false" customHeight="false" outlineLevel="0" collapsed="false">
      <c r="A13" s="15" t="s">
        <v>24</v>
      </c>
      <c r="B13" s="14"/>
      <c r="C13" s="14"/>
      <c r="D13" s="14"/>
      <c r="E13" s="14"/>
      <c r="F13" s="14"/>
    </row>
    <row r="14" customFormat="false" ht="16.4" hidden="false" customHeight="false" outlineLevel="0" collapsed="false">
      <c r="A14" s="10" t="s">
        <v>25</v>
      </c>
      <c r="B14" s="14" t="s">
        <v>26</v>
      </c>
      <c r="C14" s="14" t="n">
        <v>3</v>
      </c>
      <c r="D14" s="12" t="e">
        <f aca="false">(B14-C14)</f>
        <v>#VALUE!</v>
      </c>
      <c r="E14" s="13" t="n">
        <f aca="false">IFERROR(D14/C14,0)</f>
        <v>0</v>
      </c>
      <c r="F14" s="14" t="n">
        <v>1</v>
      </c>
    </row>
    <row r="15" customFormat="false" ht="16.4" hidden="false" customHeight="false" outlineLevel="0" collapsed="false">
      <c r="A15" s="10" t="s">
        <v>27</v>
      </c>
      <c r="B15" s="14" t="n">
        <v>358522</v>
      </c>
      <c r="C15" s="14" t="n">
        <v>291420</v>
      </c>
      <c r="D15" s="12" t="n">
        <f aca="false">(B15-C15)</f>
        <v>67102</v>
      </c>
      <c r="E15" s="13" t="n">
        <f aca="false">IFERROR(D15/C15,0)</f>
        <v>0.230258733099993</v>
      </c>
      <c r="F15" s="14" t="n">
        <v>358522</v>
      </c>
    </row>
    <row r="16" customFormat="false" ht="16.4" hidden="false" customHeight="false" outlineLevel="0" collapsed="false">
      <c r="A16" s="15" t="s">
        <v>28</v>
      </c>
      <c r="B16" s="14"/>
      <c r="C16" s="14"/>
      <c r="D16" s="14"/>
      <c r="E16" s="14"/>
      <c r="F16" s="14"/>
    </row>
    <row r="17" customFormat="false" ht="16.4" hidden="false" customHeight="false" outlineLevel="0" collapsed="false">
      <c r="A17" s="10" t="s">
        <v>29</v>
      </c>
      <c r="B17" s="13" t="n">
        <v>-0.15</v>
      </c>
      <c r="C17" s="13" t="n">
        <v>-3.93</v>
      </c>
      <c r="D17" s="13" t="n">
        <f aca="false">B17-C17</f>
        <v>3.78</v>
      </c>
      <c r="E17" s="13" t="n">
        <f aca="false">D17/C17</f>
        <v>-0.961832061068702</v>
      </c>
      <c r="F17" s="13" t="n">
        <v>4.1075</v>
      </c>
    </row>
    <row r="18" customFormat="false" ht="16.4" hidden="false" customHeight="false" outlineLevel="0" collapsed="false">
      <c r="A18" s="16" t="s">
        <v>30</v>
      </c>
      <c r="B18" s="17" t="n">
        <v>-4.25</v>
      </c>
      <c r="C18" s="17" t="n">
        <v>-16.34</v>
      </c>
      <c r="D18" s="17" t="n">
        <f aca="false">B18-C18</f>
        <v>12.09</v>
      </c>
      <c r="E18" s="17" t="n">
        <f aca="false">D18/C18</f>
        <v>-0.739902080783354</v>
      </c>
      <c r="F18" s="17" t="n">
        <v>15.0746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2025-08-05T16:18:20Z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