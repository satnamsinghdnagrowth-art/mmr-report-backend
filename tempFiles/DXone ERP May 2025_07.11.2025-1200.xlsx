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nancial Data" sheetId="1" state="visible" r:id="rId3"/>
    <sheet name="Sheet1" sheetId="2" state="visible" r:id="rId4"/>
    <sheet name="KPI She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<sst xmlns="http://schemas.openxmlformats.org/spreadsheetml/2006/main" count="214" uniqueCount="117">
  <si>
    <t xml:space="preserve">Company Name:</t>
  </si>
  <si>
    <t xml:space="preserve">DXone ERP</t>
  </si>
  <si>
    <t xml:space="preserve">Financial Year Start:</t>
  </si>
  <si>
    <t xml:space="preserve">January</t>
  </si>
  <si>
    <t xml:space="preserve"> 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</si>
  <si>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</si>
  <si>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</si>
  <si>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</si>
  <si>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</si>
  <si>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</si>
  <si>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</si>
  <si>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</si>
  <si>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Revenue</t>
  </si>
  <si>
    <t xml:space="preserve">REV</t>
  </si>
  <si>
    <t xml:space="preserve">DXOne ERP - Licence Tier 3 </t>
  </si>
  <si>
    <t xml:space="preserve">Other Optional Suites</t>
  </si>
  <si>
    <t xml:space="preserve">DCA Monitoring</t>
  </si>
  <si>
    <t xml:space="preserve">Implementation</t>
  </si>
  <si>
    <t xml:space="preserve">Implementation Tier 3 </t>
  </si>
  <si>
    <t xml:space="preserve">Discounts</t>
  </si>
  <si>
    <t xml:space="preserve">Customer Discounts</t>
  </si>
  <si>
    <t xml:space="preserve">Cost of Sales</t>
  </si>
  <si>
    <t xml:space="preserve">VCOS</t>
  </si>
  <si>
    <t xml:space="preserve">Implementation Costs</t>
  </si>
  <si>
    <t xml:space="preserve">Implementation Payroll &amp; Employee Expenses</t>
  </si>
  <si>
    <t xml:space="preserve">Server Hosting Charges</t>
  </si>
  <si>
    <t xml:space="preserve">Customer Success Payroll &amp; Employee Expenses</t>
  </si>
  <si>
    <t xml:space="preserve">Payroll Expenses (Customer Success)</t>
  </si>
  <si>
    <t xml:space="preserve">Payroll Taxes (Customer Success)</t>
  </si>
  <si>
    <t xml:space="preserve">Expenses</t>
  </si>
  <si>
    <t xml:space="preserve">FEXP</t>
  </si>
  <si>
    <t xml:space="preserve">Sales and Marketing Costs</t>
  </si>
  <si>
    <t xml:space="preserve">Operating Payroll &amp; Employee Expenses</t>
  </si>
  <si>
    <t xml:space="preserve">Payroll Expenses (Operating)</t>
  </si>
  <si>
    <t xml:space="preserve">Payroll Taxes (Operating)</t>
  </si>
  <si>
    <t xml:space="preserve">Employee Benefits &amp; Insurance Expense</t>
  </si>
  <si>
    <t xml:space="preserve">Travel and expenses (Operating)</t>
  </si>
  <si>
    <t xml:space="preserve">Marketing Tech Stack (3rd party software subscriptions)</t>
  </si>
  <si>
    <t xml:space="preserve">Events - Tradeshows and Conferences</t>
  </si>
  <si>
    <t xml:space="preserve">Travel/Meals (internal teammembers)</t>
  </si>
  <si>
    <t xml:space="preserve">Marketing Tech Stack</t>
  </si>
  <si>
    <t xml:space="preserve">PR/Media</t>
  </si>
  <si>
    <t xml:space="preserve">Demand Generation</t>
  </si>
  <si>
    <t xml:space="preserve">Software subscription (P&amp;E)</t>
  </si>
  <si>
    <t xml:space="preserve">Product and Engineering</t>
  </si>
  <si>
    <t xml:space="preserve">Product &amp; Engineering Payroll &amp; Employee Expenses</t>
  </si>
  <si>
    <t xml:space="preserve">People cost- Product &amp; Engineering</t>
  </si>
  <si>
    <t xml:space="preserve">Payroll Taxes</t>
  </si>
  <si>
    <t xml:space="preserve">External Consultants</t>
  </si>
  <si>
    <t xml:space="preserve">Software subscription</t>
  </si>
  <si>
    <t xml:space="preserve">Operations- People cost</t>
  </si>
  <si>
    <t xml:space="preserve">Payroll Taxes (G&amp;A)</t>
  </si>
  <si>
    <t xml:space="preserve">Employee Benefits &amp; Insurance Expense (G&amp;A)</t>
  </si>
  <si>
    <t xml:space="preserve">Executive Salary</t>
  </si>
  <si>
    <t xml:space="preserve">Consulting</t>
  </si>
  <si>
    <t xml:space="preserve">Professional Services (Legal, Recruitment, etc.)</t>
  </si>
  <si>
    <t xml:space="preserve">Rent and Utilities</t>
  </si>
  <si>
    <t xml:space="preserve">Software subscription (G&amp;A)</t>
  </si>
  <si>
    <t xml:space="preserve">Payment Processing Costs</t>
  </si>
  <si>
    <t xml:space="preserve">Other expenses</t>
  </si>
  <si>
    <t xml:space="preserve">Fundraising Cost</t>
  </si>
  <si>
    <t xml:space="preserve">Merchant account fees</t>
  </si>
  <si>
    <t xml:space="preserve">Other Income</t>
  </si>
  <si>
    <t xml:space="preserve">Other Expenses</t>
  </si>
  <si>
    <t xml:space="preserve">Current Assets</t>
  </si>
  <si>
    <t xml:space="preserve">CASH</t>
  </si>
  <si>
    <t xml:space="preserve">Bank Accounts</t>
  </si>
  <si>
    <t xml:space="preserve">AR</t>
  </si>
  <si>
    <t xml:space="preserve">Accounts Receivable</t>
  </si>
  <si>
    <t xml:space="preserve">OCA</t>
  </si>
  <si>
    <t xml:space="preserve">Prepaid expenses</t>
  </si>
  <si>
    <t xml:space="preserve">Payments to deposit</t>
  </si>
  <si>
    <t xml:space="preserve">Accrued Income</t>
  </si>
  <si>
    <t xml:space="preserve">Non-Current Assets</t>
  </si>
  <si>
    <t xml:space="preserve">Current Liabilities</t>
  </si>
  <si>
    <t xml:space="preserve">OCL</t>
  </si>
  <si>
    <t xml:space="preserve">Credit Cards</t>
  </si>
  <si>
    <t xml:space="preserve">Short Term Loan Payable</t>
  </si>
  <si>
    <t xml:space="preserve">Short-term loans from partners</t>
  </si>
  <si>
    <t xml:space="preserve">Non-Current Liabilities</t>
  </si>
  <si>
    <t xml:space="preserve">Convertible Notes</t>
  </si>
  <si>
    <t xml:space="preserve">Equity</t>
  </si>
  <si>
    <t xml:space="preserve">OEQ</t>
  </si>
  <si>
    <t xml:space="preserve">Partner investments</t>
  </si>
  <si>
    <t xml:space="preserve">Partner distributions</t>
  </si>
  <si>
    <t xml:space="preserve">RE</t>
  </si>
  <si>
    <t xml:space="preserve">Retained Earnings</t>
  </si>
  <si>
    <t xml:space="preserve">CE</t>
  </si>
  <si>
    <t xml:space="preserve">Income</t>
  </si>
  <si>
    <t xml:space="preserve">Tier 3</t>
  </si>
  <si>
    <t xml:space="preserve">Payroll Expenses (Implementation)</t>
  </si>
  <si>
    <t xml:space="preserve">Payroll Taxes (Implementation)</t>
  </si>
  <si>
    <t xml:space="preserve">Payroll Expenses</t>
  </si>
  <si>
    <t xml:space="preserve">500000 Cost of goods sold</t>
  </si>
  <si>
    <t xml:space="preserve">account fees</t>
  </si>
  <si>
    <t xml:space="preserve">KPI</t>
  </si>
  <si>
    <t xml:space="preserve">This Month</t>
  </si>
  <si>
    <t xml:space="preserve">Last Month</t>
  </si>
  <si>
    <t xml:space="preserve">Variance</t>
  </si>
  <si>
    <t xml:space="preserve">Variance %</t>
  </si>
  <si>
    <t xml:space="preserve">YTD</t>
  </si>
  <si>
    <t xml:space="preserve">Core Saas Metrics</t>
  </si>
  <si>
    <t xml:space="preserve">MRR</t>
  </si>
  <si>
    <t xml:space="preserve">ARR</t>
  </si>
  <si>
    <t xml:space="preserve">Sales &amp; Growth </t>
  </si>
  <si>
    <t xml:space="preserve">CAC</t>
  </si>
  <si>
    <t xml:space="preserve">LTV</t>
  </si>
  <si>
    <t xml:space="preserve">LTV Ratio</t>
  </si>
  <si>
    <t xml:space="preserve">Go-to-Market</t>
  </si>
  <si>
    <t xml:space="preserve">Total Customer Count</t>
  </si>
  <si>
    <t xml:space="preserve">Live</t>
  </si>
  <si>
    <t xml:space="preserve">Capital Efficiency</t>
  </si>
  <si>
    <t xml:space="preserve">Cash RunWay</t>
  </si>
  <si>
    <t xml:space="preserve">Burn Rate</t>
  </si>
  <si>
    <t xml:space="preserve">Profitability</t>
  </si>
  <si>
    <t xml:space="preserve">Gross Margin</t>
  </si>
  <si>
    <t xml:space="preserve">Operating Margin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</si>
</sst>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"/>
    <numFmt numFmtId="166" formatCode="mmm\-yy"/>
    <numFmt numFmtId="167" formatCode="@"/>
    <numFmt numFmtId="168" formatCode="#,##0.00\ _€"/>
    <numFmt numFmtId="169" formatCode="\$* #,##0.00\ _€"/>
    <numFmt numFmtId="170" formatCode="#,##0"/>
    <numFmt numFmtId="171" formatCode="0%"/>
  </numFmts>
  <fonts count="1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2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5" fillId="2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  <cellStyle name="Normal 2" xfId="2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H16" activeCellId="0" sqref="H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8.11"/>
    <col collapsed="false" customWidth="true" hidden="false" outlineLevel="0" max="2" min="2" style="1" width="53.89"/>
    <col collapsed="false" customWidth="true" hidden="false" outlineLevel="0" max="8" min="3" style="1" width="18.11"/>
  </cols>
  <sheetData>
    <row r="1" s="4" customFormat="true" ht="14.25" hidden="false" customHeight="false" outlineLevel="0" collapsed="false">
      <c r="A1" s="2" t="s">
        <v>0</v>
      </c>
      <c r="B1" s="3" t="s">
        <v>1</v>
      </c>
    </row>
    <row r="2" s="4" customFormat="true" ht="14.25" hidden="false" customHeight="false" outlineLevel="0" collapsed="false">
      <c r="A2" s="2" t="s">
        <v>2</v>
      </c>
      <c r="B2" s="3" t="s">
        <v>3</v>
      </c>
      <c r="C2" s="4" t="s">
        <v>4</v>
      </c>
    </row>
    <row r="3" s="4" customFormat="true" ht="14.25" hidden="false" customHeight="false" outlineLevel="0" collapsed="false"/>
    <row r="4" s="4" customFormat="true" ht="14.25" hidden="false" customHeight="false" outlineLevel="0" collapsed="false"/>
    <row r="5" customFormat="false" ht="16.4" hidden="false" customHeight="false" outlineLevel="0" collapsed="false">
      <c r="A5" s="5" t="s">
        <v>5</v>
      </c>
      <c r="B5" s="5" t="s">
        <v>6</v>
      </c>
      <c r="C5" s="6" t="n">
        <v>45627</v>
      </c>
      <c r="D5" s="7" t="s">
        <v>7</v>
      </c>
      <c r="E5" s="7" t="s">
        <v>8</v>
      </c>
      <c r="F5" s="8" t="s">
        <v>9</v>
      </c>
      <c r="G5" s="8" t="s">
        <v>10</v>
      </c>
      <c r="H5" s="8" t="s">
        <v>11</v>
      </c>
    </row>
    <row r="6" customFormat="false" ht="14.25" hidden="false" customHeight="false" outlineLevel="0" collapsed="false">
      <c r="A6" s="9"/>
      <c r="B6" s="9" t="s">
        <v>12</v>
      </c>
      <c r="C6" s="10"/>
      <c r="D6" s="10"/>
      <c r="E6" s="10"/>
      <c r="F6" s="10"/>
      <c r="G6" s="10"/>
      <c r="H6" s="10"/>
    </row>
    <row r="7" customFormat="false" ht="14.25" hidden="false" customHeight="false" outlineLevel="0" collapsed="false">
      <c r="A7" s="11" t="s">
        <v>13</v>
      </c>
      <c r="B7" s="11" t="s">
        <v>14</v>
      </c>
      <c r="C7" s="12" t="n">
        <v>63393.16</v>
      </c>
      <c r="D7" s="12" t="n">
        <f aca="false">Sheet1!C5</f>
        <v>5813.85</v>
      </c>
      <c r="E7" s="12" t="n">
        <f aca="false">Sheet1!D5</f>
        <v>5813.85</v>
      </c>
      <c r="F7" s="12" t="n">
        <f aca="false">Sheet1!E5</f>
        <v>5873.85</v>
      </c>
      <c r="G7" s="12" t="n">
        <f aca="false">Sheet1!F5</f>
        <v>5873.85</v>
      </c>
      <c r="H7" s="12" t="n">
        <f aca="false">Sheet1!G5</f>
        <v>5248.18</v>
      </c>
    </row>
    <row r="8" customFormat="false" ht="14.25" hidden="false" customHeight="false" outlineLevel="0" collapsed="false">
      <c r="A8" s="11" t="s">
        <v>13</v>
      </c>
      <c r="B8" s="11" t="s">
        <v>15</v>
      </c>
      <c r="C8" s="12"/>
      <c r="D8" s="12" t="n">
        <f aca="false">VLOOKUP($B8,Sheet1!$B$2:$G$52,MATCH('Financial Data'!D$5,Sheet1!$B$2:$G$2,0),0)</f>
        <v>0</v>
      </c>
      <c r="E8" s="12" t="n">
        <f aca="false">VLOOKUP($B8,Sheet1!$B$2:$G$52,MATCH('Financial Data'!E$5,Sheet1!$B$2:$G$2,0),0)</f>
        <v>0</v>
      </c>
      <c r="F8" s="12" t="n">
        <f aca="false">VLOOKUP($B8,Sheet1!$B$2:$G$52,MATCH('Financial Data'!F$5,Sheet1!$B$2:$G$2,0),0)</f>
        <v>0</v>
      </c>
      <c r="G8" s="12" t="n">
        <f aca="false">VLOOKUP($B8,Sheet1!$B$2:$G$52,MATCH('Financial Data'!G$5,Sheet1!$B$2:$G$2,0),0)</f>
        <v>0</v>
      </c>
      <c r="H8" s="12" t="n">
        <f aca="false">VLOOKUP($B8,Sheet1!$B$2:$G$52,MATCH('Financial Data'!H$5,Sheet1!$B$2:$G$2,0),0)</f>
        <v>0</v>
      </c>
    </row>
    <row r="9" customFormat="false" ht="14.25" hidden="false" customHeight="false" outlineLevel="0" collapsed="false">
      <c r="A9" s="11" t="s">
        <v>13</v>
      </c>
      <c r="B9" s="11" t="s">
        <v>16</v>
      </c>
      <c r="C9" s="12" t="n">
        <v>9788.82</v>
      </c>
      <c r="D9" s="12" t="n">
        <f aca="false">VLOOKUP($B9,Sheet1!$B$2:$G$52,MATCH('Financial Data'!D$5,Sheet1!$B$2:$G$2,0),0)</f>
        <v>0</v>
      </c>
      <c r="E9" s="12" t="n">
        <f aca="false">VLOOKUP($B9,Sheet1!$B$2:$G$52,MATCH('Financial Data'!E$5,Sheet1!$B$2:$G$2,0),0)</f>
        <v>0</v>
      </c>
      <c r="F9" s="12" t="n">
        <f aca="false">VLOOKUP($B9,Sheet1!$B$2:$G$52,MATCH('Financial Data'!F$5,Sheet1!$B$2:$G$2,0),0)</f>
        <v>0</v>
      </c>
      <c r="G9" s="12" t="n">
        <f aca="false">VLOOKUP($B9,Sheet1!$B$2:$G$52,MATCH('Financial Data'!G$5,Sheet1!$B$2:$G$2,0),0)</f>
        <v>0</v>
      </c>
      <c r="H9" s="12" t="n">
        <f aca="false">VLOOKUP($B9,Sheet1!$B$2:$G$52,MATCH('Financial Data'!H$5,Sheet1!$B$2:$G$2,0),0)</f>
        <v>0</v>
      </c>
    </row>
    <row r="10" customFormat="false" ht="14.25" hidden="false" customHeight="false" outlineLevel="0" collapsed="false">
      <c r="A10" s="11" t="s">
        <v>13</v>
      </c>
      <c r="B10" s="11" t="s">
        <v>17</v>
      </c>
      <c r="C10" s="12" t="n">
        <v>5912.39</v>
      </c>
      <c r="D10" s="12" t="n">
        <f aca="false">VLOOKUP($B10,Sheet1!$B$2:$G$52,MATCH('Financial Data'!D$5,Sheet1!$B$2:$G$2,0),0)</f>
        <v>0</v>
      </c>
      <c r="E10" s="12" t="n">
        <f aca="false">VLOOKUP($B10,Sheet1!$B$2:$G$52,MATCH('Financial Data'!E$5,Sheet1!$B$2:$G$2,0),0)</f>
        <v>0</v>
      </c>
      <c r="F10" s="12" t="n">
        <f aca="false">VLOOKUP($B10,Sheet1!$B$2:$G$52,MATCH('Financial Data'!F$5,Sheet1!$B$2:$G$2,0),0)</f>
        <v>0</v>
      </c>
      <c r="G10" s="12" t="n">
        <f aca="false">VLOOKUP($B10,Sheet1!$B$2:$G$52,MATCH('Financial Data'!G$5,Sheet1!$B$2:$G$2,0),0)</f>
        <v>0</v>
      </c>
      <c r="H10" s="12" t="n">
        <f aca="false">VLOOKUP($B10,Sheet1!$B$2:$G$52,MATCH('Financial Data'!H$5,Sheet1!$B$2:$G$2,0),0)</f>
        <v>0</v>
      </c>
    </row>
    <row r="11" customFormat="false" ht="14.25" hidden="false" customHeight="false" outlineLevel="0" collapsed="false">
      <c r="A11" s="11" t="s">
        <v>13</v>
      </c>
      <c r="B11" s="11" t="s">
        <v>18</v>
      </c>
      <c r="C11" s="12" t="n">
        <v>62.43</v>
      </c>
      <c r="D11" s="12" t="n">
        <f aca="false">Sheet1!C9</f>
        <v>0</v>
      </c>
      <c r="E11" s="12" t="n">
        <f aca="false">Sheet1!D9</f>
        <v>0</v>
      </c>
      <c r="F11" s="12" t="n">
        <f aca="false">Sheet1!E9</f>
        <v>0</v>
      </c>
      <c r="G11" s="12" t="n">
        <f aca="false">Sheet1!F9</f>
        <v>0</v>
      </c>
      <c r="H11" s="12" t="n">
        <f aca="false">Sheet1!G9</f>
        <v>0</v>
      </c>
    </row>
    <row r="12" customFormat="false" ht="14.25" hidden="false" customHeight="false" outlineLevel="0" collapsed="false">
      <c r="A12" s="11" t="s">
        <v>13</v>
      </c>
      <c r="B12" s="11" t="s">
        <v>19</v>
      </c>
      <c r="C12" s="12" t="n">
        <v>3845.54</v>
      </c>
      <c r="D12" s="12" t="n">
        <f aca="false">VLOOKUP($B12,Sheet1!$B$2:$G$52,MATCH('Financial Data'!D$5,Sheet1!$B$2:$G$2,0),0)</f>
        <v>0</v>
      </c>
      <c r="E12" s="12" t="n">
        <f aca="false">VLOOKUP($B12,Sheet1!$B$2:$G$52,MATCH('Financial Data'!E$5,Sheet1!$B$2:$G$2,0),0)</f>
        <v>0</v>
      </c>
      <c r="F12" s="12" t="n">
        <f aca="false">VLOOKUP($B12,Sheet1!$B$2:$G$52,MATCH('Financial Data'!F$5,Sheet1!$B$2:$G$2,0),0)</f>
        <v>0</v>
      </c>
      <c r="G12" s="12" t="n">
        <f aca="false">VLOOKUP($B12,Sheet1!$B$2:$G$52,MATCH('Financial Data'!G$5,Sheet1!$B$2:$G$2,0),0)</f>
        <v>0</v>
      </c>
      <c r="H12" s="12" t="n">
        <f aca="false">VLOOKUP($B12,Sheet1!$B$2:$G$52,MATCH('Financial Data'!H$5,Sheet1!$B$2:$G$2,0),0)</f>
        <v>0</v>
      </c>
    </row>
    <row r="13" customFormat="false" ht="14.25" hidden="false" customHeight="false" outlineLevel="0" collapsed="false">
      <c r="A13" s="11" t="s">
        <v>13</v>
      </c>
      <c r="B13" s="11" t="s">
        <v>20</v>
      </c>
      <c r="C13" s="12" t="n">
        <v>2531.46</v>
      </c>
      <c r="D13" s="12" t="n">
        <f aca="false">VLOOKUP($B13,Sheet1!$B$2:$G$52,MATCH('Financial Data'!D$5,Sheet1!$B$2:$G$2,0),0)</f>
        <v>-565.67</v>
      </c>
      <c r="E13" s="12" t="n">
        <f aca="false">VLOOKUP($B13,Sheet1!$B$2:$G$52,MATCH('Financial Data'!E$5,Sheet1!$B$2:$G$2,0),0)</f>
        <v>-565.67</v>
      </c>
      <c r="F13" s="12" t="n">
        <f aca="false">VLOOKUP($B13,Sheet1!$B$2:$G$52,MATCH('Financial Data'!F$5,Sheet1!$B$2:$G$2,0),0)</f>
        <v>-565.67</v>
      </c>
      <c r="G13" s="12" t="n">
        <f aca="false">VLOOKUP($B13,Sheet1!$B$2:$G$52,MATCH('Financial Data'!G$5,Sheet1!$B$2:$G$2,0),0)</f>
        <v>-565.67</v>
      </c>
      <c r="H13" s="12" t="n">
        <f aca="false">VLOOKUP($B13,Sheet1!$B$2:$G$52,MATCH('Financial Data'!H$5,Sheet1!$B$2:$G$2,0),0)</f>
        <v>0</v>
      </c>
    </row>
    <row r="14" customFormat="false" ht="14.25" hidden="false" customHeight="false" outlineLevel="0" collapsed="false">
      <c r="A14" s="9"/>
      <c r="B14" s="9" t="s">
        <v>21</v>
      </c>
      <c r="C14" s="10" t="n">
        <v>2149.91</v>
      </c>
      <c r="D14" s="10"/>
      <c r="E14" s="10"/>
      <c r="F14" s="10"/>
      <c r="G14" s="10"/>
      <c r="H14" s="10"/>
    </row>
    <row r="15" customFormat="false" ht="16.4" hidden="false" customHeight="false" outlineLevel="0" collapsed="false">
      <c r="A15" s="11" t="s">
        <v>22</v>
      </c>
      <c r="B15" s="11" t="s">
        <v>23</v>
      </c>
      <c r="C15" s="12" t="n">
        <v>773.08</v>
      </c>
      <c r="D15" s="12" t="n">
        <f aca="false">Sheet1!C13</f>
        <v>0</v>
      </c>
      <c r="E15" s="12" t="n">
        <f aca="false">Sheet1!D13</f>
        <v>0</v>
      </c>
      <c r="F15" s="12" t="n">
        <f aca="false">Sheet1!E13</f>
        <v>0</v>
      </c>
      <c r="G15" s="12" t="n">
        <f aca="false">Sheet1!F13</f>
        <v>0</v>
      </c>
      <c r="H15" s="12" t="n">
        <f aca="false">Sheet1!G13</f>
        <v>0</v>
      </c>
    </row>
    <row r="16" customFormat="false" ht="16.4" hidden="false" customHeight="false" outlineLevel="0" collapsed="false">
      <c r="A16" s="11" t="s">
        <v>22</v>
      </c>
      <c r="B16" s="11" t="s">
        <v>24</v>
      </c>
      <c r="C16" s="12"/>
      <c r="D16" s="12" t="n">
        <f aca="false">Sheet1!C14</f>
        <v>0</v>
      </c>
      <c r="E16" s="12" t="n">
        <f aca="false">Sheet1!D14</f>
        <v>0</v>
      </c>
      <c r="F16" s="12" t="n">
        <f aca="false">Sheet1!E14</f>
        <v>0</v>
      </c>
      <c r="G16" s="12" t="n">
        <f aca="false">Sheet1!F14</f>
        <v>0</v>
      </c>
      <c r="H16" s="12" t="n">
        <f aca="false">Sheet1!G14</f>
        <v>0</v>
      </c>
    </row>
    <row r="17" customFormat="false" ht="16.4" hidden="false" customHeight="false" outlineLevel="0" collapsed="false">
      <c r="A17" s="11" t="s">
        <v>22</v>
      </c>
      <c r="B17" s="11" t="str">
        <f aca="false">Sheet1!B15</f>
        <v>Payroll Expenses (Implementation)</v>
      </c>
      <c r="C17" s="12" t="n">
        <v>200</v>
      </c>
      <c r="D17" s="12" t="n">
        <f aca="false">Sheet1!C15</f>
        <v>24418.58</v>
      </c>
      <c r="E17" s="12" t="n">
        <f aca="false">Sheet1!D15</f>
        <v>16601.56</v>
      </c>
      <c r="F17" s="12" t="n">
        <f aca="false">Sheet1!E15</f>
        <v>16491.56</v>
      </c>
      <c r="G17" s="12" t="n">
        <f aca="false">Sheet1!F15</f>
        <v>7355.78</v>
      </c>
      <c r="H17" s="12" t="n">
        <f aca="false">Sheet1!G15</f>
        <v>0</v>
      </c>
    </row>
    <row r="18" customFormat="false" ht="16.4" hidden="false" customHeight="false" outlineLevel="0" collapsed="false">
      <c r="A18" s="11" t="s">
        <v>22</v>
      </c>
      <c r="B18" s="11" t="str">
        <f aca="false">Sheet1!B16</f>
        <v>Payroll Taxes (Implementation)</v>
      </c>
      <c r="C18" s="12" t="n">
        <v>15</v>
      </c>
      <c r="D18" s="12" t="n">
        <f aca="false">Sheet1!C16</f>
        <v>1633.08</v>
      </c>
      <c r="E18" s="12" t="n">
        <f aca="false">Sheet1!D16</f>
        <v>1197.09</v>
      </c>
      <c r="F18" s="12" t="n">
        <f aca="false">Sheet1!E16</f>
        <v>1189.45</v>
      </c>
      <c r="G18" s="12" t="n">
        <f aca="false">Sheet1!F16</f>
        <v>594.72</v>
      </c>
      <c r="H18" s="12" t="n">
        <f aca="false">Sheet1!G16</f>
        <v>0</v>
      </c>
    </row>
    <row r="19" customFormat="false" ht="16.4" hidden="false" customHeight="false" outlineLevel="0" collapsed="false">
      <c r="A19" s="11" t="s">
        <v>22</v>
      </c>
      <c r="B19" s="11" t="s">
        <v>25</v>
      </c>
      <c r="C19" s="12" t="n">
        <v>99.01</v>
      </c>
      <c r="D19" s="12" t="n">
        <f aca="false">Sheet1!C17</f>
        <v>1364.26</v>
      </c>
      <c r="E19" s="12" t="n">
        <f aca="false">Sheet1!D17</f>
        <v>1530.25</v>
      </c>
      <c r="F19" s="12" t="n">
        <f aca="false">Sheet1!E17</f>
        <v>2616.47</v>
      </c>
      <c r="G19" s="12" t="n">
        <f aca="false">Sheet1!F17</f>
        <v>1600.58</v>
      </c>
      <c r="H19" s="12" t="n">
        <f aca="false">Sheet1!G17</f>
        <v>1596.51</v>
      </c>
    </row>
    <row r="20" customFormat="false" ht="16.4" hidden="false" customHeight="false" outlineLevel="0" collapsed="false">
      <c r="A20" s="11" t="s">
        <v>22</v>
      </c>
      <c r="B20" s="11" t="s">
        <v>26</v>
      </c>
      <c r="C20" s="12" t="n">
        <v>0</v>
      </c>
      <c r="D20" s="12" t="n">
        <f aca="false">Sheet1!C18</f>
        <v>0</v>
      </c>
      <c r="E20" s="12" t="n">
        <f aca="false">Sheet1!D18</f>
        <v>0</v>
      </c>
      <c r="F20" s="12" t="n">
        <f aca="false">Sheet1!E18</f>
        <v>0</v>
      </c>
      <c r="G20" s="12" t="n">
        <f aca="false">Sheet1!F18</f>
        <v>0</v>
      </c>
      <c r="H20" s="12" t="n">
        <f aca="false">Sheet1!G18</f>
        <v>0</v>
      </c>
    </row>
    <row r="21" customFormat="false" ht="16.4" hidden="false" customHeight="false" outlineLevel="0" collapsed="false">
      <c r="A21" s="11" t="s">
        <v>22</v>
      </c>
      <c r="B21" s="11" t="s">
        <v>27</v>
      </c>
      <c r="C21" s="12" t="n">
        <v>66.48</v>
      </c>
      <c r="D21" s="12" t="n">
        <f aca="false">Sheet1!C19</f>
        <v>2957.89</v>
      </c>
      <c r="E21" s="12" t="n">
        <f aca="false">Sheet1!D19</f>
        <v>2203.27</v>
      </c>
      <c r="F21" s="12" t="n">
        <f aca="false">Sheet1!E19</f>
        <v>2175.77</v>
      </c>
      <c r="G21" s="12" t="n">
        <f aca="false">Sheet1!F19</f>
        <v>865.39</v>
      </c>
      <c r="H21" s="12" t="n">
        <f aca="false">Sheet1!G19</f>
        <v>0</v>
      </c>
    </row>
    <row r="22" customFormat="false" ht="16.4" hidden="false" customHeight="false" outlineLevel="0" collapsed="false">
      <c r="A22" s="11" t="s">
        <v>22</v>
      </c>
      <c r="B22" s="11" t="s">
        <v>28</v>
      </c>
      <c r="C22" s="12" t="n">
        <v>164.98</v>
      </c>
      <c r="D22" s="12" t="n">
        <f aca="false">Sheet1!C20</f>
        <v>184.54</v>
      </c>
      <c r="E22" s="12" t="n">
        <f aca="false">Sheet1!D20</f>
        <v>141.48</v>
      </c>
      <c r="F22" s="12" t="n">
        <f aca="false">Sheet1!E20</f>
        <v>142.25</v>
      </c>
      <c r="G22" s="12" t="n">
        <f aca="false">Sheet1!F20</f>
        <v>71.13</v>
      </c>
      <c r="H22" s="12" t="n">
        <f aca="false">Sheet1!G20</f>
        <v>0</v>
      </c>
    </row>
    <row r="23" customFormat="false" ht="16.4" hidden="false" customHeight="false" outlineLevel="0" collapsed="false">
      <c r="A23" s="9"/>
      <c r="B23" s="9" t="s">
        <v>29</v>
      </c>
      <c r="C23" s="10" t="n">
        <v>10880</v>
      </c>
      <c r="D23" s="10"/>
      <c r="E23" s="10"/>
      <c r="F23" s="10"/>
      <c r="G23" s="10" t="s">
        <v>4</v>
      </c>
      <c r="H23" s="10"/>
    </row>
    <row r="24" customFormat="false" ht="16.4" hidden="false" customHeight="false" outlineLevel="0" collapsed="false">
      <c r="A24" s="11" t="s">
        <v>30</v>
      </c>
      <c r="B24" s="11" t="s">
        <v>31</v>
      </c>
      <c r="C24" s="12" t="n">
        <v>15.21</v>
      </c>
      <c r="D24" s="12" t="n">
        <f aca="false">Sheet1!C22</f>
        <v>0</v>
      </c>
      <c r="E24" s="12" t="n">
        <f aca="false">Sheet1!D22</f>
        <v>0</v>
      </c>
      <c r="F24" s="12" t="n">
        <f aca="false">Sheet1!E22</f>
        <v>0</v>
      </c>
      <c r="G24" s="12" t="n">
        <f aca="false">Sheet1!F22</f>
        <v>0</v>
      </c>
      <c r="H24" s="12" t="n">
        <f aca="false">Sheet1!G22</f>
        <v>0</v>
      </c>
    </row>
    <row r="25" customFormat="false" ht="16.4" hidden="false" customHeight="false" outlineLevel="0" collapsed="false">
      <c r="A25" s="11" t="s">
        <v>30</v>
      </c>
      <c r="B25" s="11" t="s">
        <v>32</v>
      </c>
      <c r="C25" s="12" t="n">
        <v>29.88</v>
      </c>
      <c r="D25" s="12" t="n">
        <f aca="false">Sheet1!C23</f>
        <v>0</v>
      </c>
      <c r="E25" s="12" t="n">
        <f aca="false">Sheet1!D23</f>
        <v>0</v>
      </c>
      <c r="F25" s="12" t="n">
        <f aca="false">Sheet1!E23</f>
        <v>0</v>
      </c>
      <c r="G25" s="12" t="n">
        <f aca="false">Sheet1!F23</f>
        <v>28172.03</v>
      </c>
      <c r="H25" s="12" t="n">
        <f aca="false">Sheet1!G23</f>
        <v>56579.49</v>
      </c>
    </row>
    <row r="26" customFormat="false" ht="16.4" hidden="false" customHeight="false" outlineLevel="0" collapsed="false">
      <c r="A26" s="11" t="s">
        <v>30</v>
      </c>
      <c r="B26" s="11" t="s">
        <v>33</v>
      </c>
      <c r="C26" s="12" t="n">
        <v>0</v>
      </c>
      <c r="D26" s="12" t="n">
        <f aca="false">Sheet1!C24</f>
        <v>5346.16</v>
      </c>
      <c r="E26" s="12" t="n">
        <f aca="false">Sheet1!D24</f>
        <v>3846.15</v>
      </c>
      <c r="F26" s="12" t="n">
        <f aca="false">Sheet1!E24</f>
        <v>5328</v>
      </c>
      <c r="G26" s="12" t="n">
        <f aca="false">Sheet1!F24</f>
        <v>1923.08</v>
      </c>
      <c r="H26" s="12" t="n">
        <f aca="false">Sheet1!G24</f>
        <v>0</v>
      </c>
    </row>
    <row r="27" customFormat="false" ht="16.4" hidden="false" customHeight="false" outlineLevel="0" collapsed="false">
      <c r="A27" s="11" t="s">
        <v>30</v>
      </c>
      <c r="B27" s="11" t="s">
        <v>34</v>
      </c>
      <c r="C27" s="12" t="n">
        <v>0</v>
      </c>
      <c r="D27" s="12" t="n">
        <f aca="false">Sheet1!C25</f>
        <v>360.62</v>
      </c>
      <c r="E27" s="12" t="n">
        <f aca="false">Sheet1!D25</f>
        <v>339.61</v>
      </c>
      <c r="F27" s="12" t="n">
        <f aca="false">Sheet1!E25</f>
        <v>343.46</v>
      </c>
      <c r="G27" s="12" t="n">
        <f aca="false">Sheet1!F25</f>
        <v>171.73</v>
      </c>
      <c r="H27" s="12" t="n">
        <f aca="false">Sheet1!G25</f>
        <v>0</v>
      </c>
    </row>
    <row r="28" customFormat="false" ht="16.4" hidden="false" customHeight="false" outlineLevel="0" collapsed="false">
      <c r="A28" s="11" t="s">
        <v>30</v>
      </c>
      <c r="B28" s="11" t="s">
        <v>35</v>
      </c>
      <c r="C28" s="12" t="n">
        <v>1492.31</v>
      </c>
      <c r="D28" s="12" t="n">
        <f aca="false">Sheet1!C26</f>
        <v>0</v>
      </c>
      <c r="E28" s="12" t="n">
        <f aca="false">Sheet1!D26</f>
        <v>0</v>
      </c>
      <c r="F28" s="12" t="n">
        <f aca="false">Sheet1!E26</f>
        <v>1001</v>
      </c>
      <c r="G28" s="12" t="n">
        <f aca="false">Sheet1!F26</f>
        <v>1001</v>
      </c>
      <c r="H28" s="12" t="n">
        <f aca="false">Sheet1!G26</f>
        <v>0</v>
      </c>
    </row>
    <row r="29" customFormat="false" ht="16.4" hidden="false" customHeight="false" outlineLevel="0" collapsed="false">
      <c r="A29" s="11" t="s">
        <v>30</v>
      </c>
      <c r="B29" s="11" t="s">
        <v>36</v>
      </c>
      <c r="C29" s="12" t="n">
        <v>16555.22</v>
      </c>
      <c r="D29" s="12" t="n">
        <f aca="false">Sheet1!C27</f>
        <v>8188.52</v>
      </c>
      <c r="E29" s="12" t="n">
        <f aca="false">Sheet1!D27</f>
        <v>6222.27</v>
      </c>
      <c r="F29" s="12" t="n">
        <f aca="false">Sheet1!E27</f>
        <v>229.02</v>
      </c>
      <c r="G29" s="12" t="n">
        <f aca="false">Sheet1!F27</f>
        <v>0</v>
      </c>
      <c r="H29" s="12" t="n">
        <f aca="false">Sheet1!G27</f>
        <v>0</v>
      </c>
    </row>
    <row r="30" customFormat="false" ht="16.4" hidden="false" customHeight="false" outlineLevel="0" collapsed="false">
      <c r="A30" s="11" t="s">
        <v>30</v>
      </c>
      <c r="B30" s="11" t="s">
        <v>37</v>
      </c>
      <c r="C30" s="12" t="n">
        <v>0</v>
      </c>
      <c r="D30" s="12" t="n">
        <f aca="false">Sheet1!C28</f>
        <v>508.96</v>
      </c>
      <c r="E30" s="12" t="n">
        <f aca="false">Sheet1!D28</f>
        <v>0</v>
      </c>
      <c r="F30" s="12" t="n">
        <f aca="false">Sheet1!E28</f>
        <v>0</v>
      </c>
      <c r="G30" s="12" t="n">
        <f aca="false">Sheet1!F28</f>
        <v>0</v>
      </c>
      <c r="H30" s="12" t="n">
        <f aca="false">Sheet1!G28</f>
        <v>0</v>
      </c>
    </row>
    <row r="31" customFormat="false" ht="16.4" hidden="false" customHeight="false" outlineLevel="0" collapsed="false">
      <c r="A31" s="11" t="s">
        <v>30</v>
      </c>
      <c r="B31" s="11" t="s">
        <v>38</v>
      </c>
      <c r="C31" s="12" t="n">
        <v>166.4</v>
      </c>
      <c r="D31" s="12" t="n">
        <f aca="false">Sheet1!C29</f>
        <v>0</v>
      </c>
      <c r="E31" s="12" t="n">
        <f aca="false">Sheet1!D29</f>
        <v>250</v>
      </c>
      <c r="F31" s="12" t="n">
        <f aca="false">Sheet1!E29</f>
        <v>7779.88</v>
      </c>
      <c r="G31" s="12" t="n">
        <f aca="false">Sheet1!F29</f>
        <v>250</v>
      </c>
      <c r="H31" s="12" t="n">
        <f aca="false">Sheet1!G29</f>
        <v>250</v>
      </c>
    </row>
    <row r="32" customFormat="false" ht="16.4" hidden="false" customHeight="false" outlineLevel="0" collapsed="false">
      <c r="A32" s="11" t="s">
        <v>30</v>
      </c>
      <c r="B32" s="11" t="s">
        <v>39</v>
      </c>
      <c r="C32" s="12" t="n">
        <v>1956.29</v>
      </c>
      <c r="D32" s="12" t="n">
        <f aca="false">Sheet1!C30</f>
        <v>138.92</v>
      </c>
      <c r="E32" s="12" t="n">
        <f aca="false">Sheet1!D30</f>
        <v>1303.19</v>
      </c>
      <c r="F32" s="12" t="n">
        <f aca="false">Sheet1!E30</f>
        <v>1464.5</v>
      </c>
      <c r="G32" s="12" t="n">
        <f aca="false">Sheet1!F30</f>
        <v>29.59</v>
      </c>
      <c r="H32" s="12" t="n">
        <f aca="false">Sheet1!G30</f>
        <v>0</v>
      </c>
    </row>
    <row r="33" customFormat="false" ht="16.4" hidden="false" customHeight="false" outlineLevel="0" collapsed="false">
      <c r="A33" s="11" t="s">
        <v>30</v>
      </c>
      <c r="B33" s="11" t="s">
        <v>40</v>
      </c>
      <c r="C33" s="12" t="n">
        <v>130</v>
      </c>
      <c r="D33" s="12" t="n">
        <f aca="false">Sheet1!C31</f>
        <v>0</v>
      </c>
      <c r="E33" s="12" t="n">
        <f aca="false">Sheet1!D31</f>
        <v>0</v>
      </c>
      <c r="F33" s="12" t="n">
        <f aca="false">Sheet1!E31</f>
        <v>0</v>
      </c>
      <c r="G33" s="12" t="n">
        <f aca="false">Sheet1!F31</f>
        <v>0</v>
      </c>
      <c r="H33" s="12" t="n">
        <f aca="false">Sheet1!G31</f>
        <v>0</v>
      </c>
    </row>
    <row r="34" customFormat="false" ht="16.4" hidden="false" customHeight="false" outlineLevel="0" collapsed="false">
      <c r="A34" s="11" t="s">
        <v>30</v>
      </c>
      <c r="B34" s="11" t="s">
        <v>41</v>
      </c>
      <c r="C34" s="12" t="n">
        <v>11.2</v>
      </c>
      <c r="D34" s="12" t="n">
        <f aca="false">Sheet1!C32</f>
        <v>1105.4</v>
      </c>
      <c r="E34" s="12" t="n">
        <f aca="false">Sheet1!D32</f>
        <v>1416</v>
      </c>
      <c r="F34" s="12" t="n">
        <f aca="false">Sheet1!E32</f>
        <v>1760.13</v>
      </c>
      <c r="G34" s="12" t="n">
        <f aca="false">Sheet1!F32</f>
        <v>0</v>
      </c>
      <c r="H34" s="12" t="n">
        <f aca="false">Sheet1!G32</f>
        <v>0</v>
      </c>
    </row>
    <row r="35" customFormat="false" ht="16.4" hidden="false" customHeight="false" outlineLevel="0" collapsed="false">
      <c r="A35" s="11" t="s">
        <v>30</v>
      </c>
      <c r="B35" s="11" t="s">
        <v>42</v>
      </c>
      <c r="C35" s="12" t="n">
        <v>303.36</v>
      </c>
      <c r="D35" s="12" t="n">
        <f aca="false">Sheet1!C33</f>
        <v>68.06</v>
      </c>
      <c r="E35" s="12" t="n">
        <f aca="false">Sheet1!D33</f>
        <v>68.06</v>
      </c>
      <c r="F35" s="12" t="n">
        <f aca="false">Sheet1!E33</f>
        <v>783.88</v>
      </c>
      <c r="G35" s="12" t="n">
        <f aca="false">Sheet1!F33</f>
        <v>68.06</v>
      </c>
      <c r="H35" s="12" t="n">
        <f aca="false">Sheet1!G33</f>
        <v>68.06</v>
      </c>
    </row>
    <row r="36" customFormat="false" ht="16.4" hidden="false" customHeight="false" outlineLevel="0" collapsed="false">
      <c r="A36" s="11" t="s">
        <v>30</v>
      </c>
      <c r="B36" s="11" t="s">
        <v>43</v>
      </c>
      <c r="C36" s="12" t="n">
        <v>767.81</v>
      </c>
      <c r="D36" s="12" t="n">
        <f aca="false">Sheet1!C34</f>
        <v>120</v>
      </c>
      <c r="E36" s="12" t="n">
        <f aca="false">Sheet1!D34</f>
        <v>120</v>
      </c>
      <c r="F36" s="12" t="n">
        <f aca="false">Sheet1!E34</f>
        <v>-439.75</v>
      </c>
      <c r="G36" s="12" t="n">
        <f aca="false">Sheet1!F34</f>
        <v>164</v>
      </c>
      <c r="H36" s="12" t="n">
        <f aca="false">Sheet1!G34</f>
        <v>164</v>
      </c>
    </row>
    <row r="37" customFormat="false" ht="16.4" hidden="false" customHeight="false" outlineLevel="0" collapsed="false">
      <c r="A37" s="11" t="s">
        <v>30</v>
      </c>
      <c r="B37" s="11" t="s">
        <v>44</v>
      </c>
      <c r="C37" s="12"/>
      <c r="D37" s="12" t="n">
        <f aca="false">Sheet1!C35</f>
        <v>0</v>
      </c>
      <c r="E37" s="12" t="n">
        <f aca="false">Sheet1!D35</f>
        <v>0</v>
      </c>
      <c r="F37" s="12" t="n">
        <f aca="false">Sheet1!E35</f>
        <v>0</v>
      </c>
      <c r="G37" s="12" t="n">
        <f aca="false">Sheet1!F35</f>
        <v>0</v>
      </c>
      <c r="H37" s="12" t="n">
        <f aca="false">Sheet1!G35</f>
        <v>0</v>
      </c>
    </row>
    <row r="38" customFormat="false" ht="16.4" hidden="false" customHeight="false" outlineLevel="0" collapsed="false">
      <c r="A38" s="11" t="s">
        <v>30</v>
      </c>
      <c r="B38" s="11" t="s">
        <v>45</v>
      </c>
      <c r="C38" s="12" t="n">
        <v>688.93</v>
      </c>
      <c r="D38" s="12" t="n">
        <f aca="false">Sheet1!C36</f>
        <v>0</v>
      </c>
      <c r="E38" s="12" t="n">
        <f aca="false">Sheet1!D36</f>
        <v>0</v>
      </c>
      <c r="F38" s="12" t="n">
        <f aca="false">Sheet1!E36</f>
        <v>0</v>
      </c>
      <c r="G38" s="12" t="n">
        <f aca="false">Sheet1!F36</f>
        <v>0</v>
      </c>
      <c r="H38" s="12" t="n">
        <f aca="false">Sheet1!G36</f>
        <v>0</v>
      </c>
    </row>
    <row r="39" customFormat="false" ht="16.4" hidden="false" customHeight="false" outlineLevel="0" collapsed="false">
      <c r="A39" s="11" t="s">
        <v>30</v>
      </c>
      <c r="B39" s="11" t="s">
        <v>46</v>
      </c>
      <c r="C39" s="12" t="n">
        <v>0</v>
      </c>
      <c r="D39" s="12" t="n">
        <f aca="false">Sheet1!C37</f>
        <v>1730.77</v>
      </c>
      <c r="E39" s="12" t="n">
        <f aca="false">Sheet1!D37</f>
        <v>1153.85</v>
      </c>
      <c r="F39" s="12" t="n">
        <f aca="false">Sheet1!E37</f>
        <v>1153.84</v>
      </c>
      <c r="G39" s="12" t="n">
        <f aca="false">Sheet1!F37</f>
        <v>5384.62</v>
      </c>
      <c r="H39" s="12" t="n">
        <f aca="false">Sheet1!G37</f>
        <v>0</v>
      </c>
    </row>
    <row r="40" customFormat="false" ht="16.4" hidden="false" customHeight="false" outlineLevel="0" collapsed="false">
      <c r="A40" s="11" t="s">
        <v>30</v>
      </c>
      <c r="B40" s="11" t="s">
        <v>47</v>
      </c>
      <c r="C40" s="12"/>
      <c r="D40" s="12" t="n">
        <f aca="false">Sheet1!C38</f>
        <v>159.12</v>
      </c>
      <c r="E40" s="12" t="n">
        <f aca="false">Sheet1!D38</f>
        <v>101.88</v>
      </c>
      <c r="F40" s="12" t="n">
        <f aca="false">Sheet1!E38</f>
        <v>103.04</v>
      </c>
      <c r="G40" s="12" t="n">
        <f aca="false">Sheet1!F38</f>
        <v>577.97</v>
      </c>
      <c r="H40" s="12" t="n">
        <f aca="false">Sheet1!G38</f>
        <v>0</v>
      </c>
    </row>
    <row r="41" customFormat="false" ht="16.4" hidden="false" customHeight="false" outlineLevel="0" collapsed="false">
      <c r="A41" s="11" t="s">
        <v>30</v>
      </c>
      <c r="B41" s="11" t="s">
        <v>48</v>
      </c>
      <c r="C41" s="12" t="n">
        <v>1744.3</v>
      </c>
      <c r="D41" s="12" t="n">
        <f aca="false">Sheet1!C39</f>
        <v>0</v>
      </c>
      <c r="E41" s="12" t="n">
        <f aca="false">Sheet1!D39</f>
        <v>0</v>
      </c>
      <c r="F41" s="12" t="n">
        <f aca="false">Sheet1!E39</f>
        <v>2467.25</v>
      </c>
      <c r="G41" s="12" t="n">
        <f aca="false">Sheet1!F39</f>
        <v>0</v>
      </c>
      <c r="H41" s="12" t="n">
        <f aca="false">Sheet1!G39</f>
        <v>0</v>
      </c>
    </row>
    <row r="42" customFormat="false" ht="16.4" hidden="false" customHeight="false" outlineLevel="0" collapsed="false">
      <c r="A42" s="11" t="s">
        <v>30</v>
      </c>
      <c r="B42" s="11" t="s">
        <v>49</v>
      </c>
      <c r="C42" s="12"/>
      <c r="D42" s="12" t="n">
        <f aca="false">Sheet1!C40</f>
        <v>171.12</v>
      </c>
      <c r="E42" s="12" t="n">
        <f aca="false">Sheet1!D40</f>
        <v>171.69</v>
      </c>
      <c r="F42" s="12" t="n">
        <f aca="false">Sheet1!E40</f>
        <v>170.48</v>
      </c>
      <c r="G42" s="12" t="n">
        <f aca="false">Sheet1!F40</f>
        <v>436.27</v>
      </c>
      <c r="H42" s="12" t="n">
        <f aca="false">Sheet1!G40</f>
        <v>149.79</v>
      </c>
    </row>
    <row r="43" customFormat="false" ht="16.4" hidden="false" customHeight="false" outlineLevel="0" collapsed="false">
      <c r="A43" s="11" t="s">
        <v>30</v>
      </c>
      <c r="B43" s="11" t="s">
        <v>50</v>
      </c>
      <c r="C43" s="12" t="n">
        <v>8268.62</v>
      </c>
      <c r="D43" s="12" t="n">
        <f aca="false">Sheet1!C41</f>
        <v>4185</v>
      </c>
      <c r="E43" s="12" t="n">
        <f aca="false">Sheet1!D41</f>
        <v>2307.7</v>
      </c>
      <c r="F43" s="12" t="n">
        <f aca="false">Sheet1!E41</f>
        <v>2307.7</v>
      </c>
      <c r="G43" s="12" t="n">
        <f aca="false">Sheet1!F41</f>
        <v>1153.85</v>
      </c>
      <c r="H43" s="12" t="n">
        <f aca="false">Sheet1!G41</f>
        <v>0</v>
      </c>
    </row>
    <row r="44" customFormat="false" ht="16.4" hidden="false" customHeight="false" outlineLevel="0" collapsed="false">
      <c r="A44" s="11" t="s">
        <v>30</v>
      </c>
      <c r="B44" s="11" t="s">
        <v>51</v>
      </c>
      <c r="C44" s="12" t="n">
        <v>183</v>
      </c>
      <c r="D44" s="12" t="n">
        <f aca="false">Sheet1!C42</f>
        <v>662.84</v>
      </c>
      <c r="E44" s="12" t="n">
        <f aca="false">Sheet1!D42</f>
        <v>1024.98</v>
      </c>
      <c r="F44" s="12" t="n">
        <f aca="false">Sheet1!E42</f>
        <v>1403.12</v>
      </c>
      <c r="G44" s="12" t="n">
        <f aca="false">Sheet1!F42</f>
        <v>695.23</v>
      </c>
      <c r="H44" s="12" t="n">
        <f aca="false">Sheet1!G42</f>
        <v>0</v>
      </c>
    </row>
    <row r="45" customFormat="false" ht="16.4" hidden="false" customHeight="false" outlineLevel="0" collapsed="false">
      <c r="A45" s="11" t="s">
        <v>30</v>
      </c>
      <c r="B45" s="11" t="s">
        <v>52</v>
      </c>
      <c r="C45" s="12" t="n">
        <v>4249.98</v>
      </c>
      <c r="D45" s="12" t="n">
        <f aca="false">Sheet1!C43</f>
        <v>0</v>
      </c>
      <c r="E45" s="12" t="n">
        <f aca="false">Sheet1!D43</f>
        <v>0</v>
      </c>
      <c r="F45" s="12" t="n">
        <f aca="false">Sheet1!E43</f>
        <v>120</v>
      </c>
      <c r="G45" s="12" t="n">
        <f aca="false">Sheet1!F43</f>
        <v>0</v>
      </c>
      <c r="H45" s="12" t="n">
        <f aca="false">Sheet1!G43</f>
        <v>0</v>
      </c>
    </row>
    <row r="46" customFormat="false" ht="16.4" hidden="false" customHeight="false" outlineLevel="0" collapsed="false">
      <c r="A46" s="11" t="s">
        <v>30</v>
      </c>
      <c r="B46" s="11" t="s">
        <v>53</v>
      </c>
      <c r="C46" s="12" t="n">
        <v>3096.23</v>
      </c>
      <c r="D46" s="12" t="n">
        <f aca="false">Sheet1!C44</f>
        <v>18825.1</v>
      </c>
      <c r="E46" s="12" t="n">
        <f aca="false">Sheet1!D44</f>
        <v>13903.86</v>
      </c>
      <c r="F46" s="12" t="n">
        <f aca="false">Sheet1!E44</f>
        <v>16578.01</v>
      </c>
      <c r="G46" s="12" t="n">
        <f aca="false">Sheet1!F44</f>
        <v>7548.08</v>
      </c>
      <c r="H46" s="12" t="n">
        <f aca="false">Sheet1!G44</f>
        <v>0</v>
      </c>
    </row>
    <row r="47" customFormat="false" ht="16.4" hidden="false" customHeight="false" outlineLevel="0" collapsed="false">
      <c r="A47" s="11" t="s">
        <v>30</v>
      </c>
      <c r="B47" s="11" t="s">
        <v>54</v>
      </c>
      <c r="C47" s="12" t="n">
        <v>366851.06</v>
      </c>
      <c r="D47" s="12" t="n">
        <f aca="false">Sheet1!C45</f>
        <v>7225.95</v>
      </c>
      <c r="E47" s="12" t="n">
        <f aca="false">Sheet1!D45</f>
        <v>5597.69</v>
      </c>
      <c r="F47" s="12" t="n">
        <f aca="false">Sheet1!E45</f>
        <v>5275.4</v>
      </c>
      <c r="G47" s="12" t="n">
        <f aca="false">Sheet1!F45</f>
        <v>0</v>
      </c>
      <c r="H47" s="12" t="n">
        <f aca="false">Sheet1!G45</f>
        <v>5343.05</v>
      </c>
    </row>
    <row r="48" customFormat="false" ht="16.4" hidden="false" customHeight="false" outlineLevel="0" collapsed="false">
      <c r="A48" s="11" t="s">
        <v>30</v>
      </c>
      <c r="B48" s="11" t="s">
        <v>55</v>
      </c>
      <c r="C48" s="12" t="n">
        <v>10250</v>
      </c>
      <c r="D48" s="12" t="n">
        <f aca="false">Sheet1!C46</f>
        <v>0</v>
      </c>
      <c r="E48" s="12" t="n">
        <f aca="false">Sheet1!D46</f>
        <v>6000</v>
      </c>
      <c r="F48" s="12" t="n">
        <f aca="false">Sheet1!E46</f>
        <v>5111.25</v>
      </c>
      <c r="G48" s="12" t="n">
        <f aca="false">Sheet1!F46</f>
        <v>3000</v>
      </c>
      <c r="H48" s="12" t="n">
        <f aca="false">Sheet1!G46</f>
        <v>5050</v>
      </c>
    </row>
    <row r="49" customFormat="false" ht="16.4" hidden="false" customHeight="false" outlineLevel="0" collapsed="false">
      <c r="A49" s="11" t="s">
        <v>30</v>
      </c>
      <c r="B49" s="11" t="s">
        <v>56</v>
      </c>
      <c r="C49" s="12"/>
      <c r="D49" s="12" t="n">
        <f aca="false">Sheet1!C47</f>
        <v>1390.08</v>
      </c>
      <c r="E49" s="12" t="n">
        <f aca="false">Sheet1!D47</f>
        <v>1240.09</v>
      </c>
      <c r="F49" s="12" t="n">
        <f aca="false">Sheet1!E47</f>
        <v>2077.99</v>
      </c>
      <c r="G49" s="12" t="n">
        <f aca="false">Sheet1!F47</f>
        <v>1435</v>
      </c>
      <c r="H49" s="12" t="n">
        <f aca="false">Sheet1!G47</f>
        <v>12948.99</v>
      </c>
    </row>
    <row r="50" customFormat="false" ht="16.4" hidden="false" customHeight="false" outlineLevel="0" collapsed="false">
      <c r="A50" s="11" t="s">
        <v>30</v>
      </c>
      <c r="B50" s="11" t="s">
        <v>57</v>
      </c>
      <c r="C50" s="12" t="n">
        <v>-861.1</v>
      </c>
      <c r="D50" s="12" t="n">
        <f aca="false">Sheet1!C48</f>
        <v>1770.66</v>
      </c>
      <c r="E50" s="12" t="n">
        <f aca="false">Sheet1!D48</f>
        <v>642.83</v>
      </c>
      <c r="F50" s="12" t="n">
        <f aca="false">Sheet1!E48</f>
        <v>573.83</v>
      </c>
      <c r="G50" s="12" t="n">
        <f aca="false">Sheet1!F48</f>
        <v>2425.78</v>
      </c>
      <c r="H50" s="12" t="n">
        <f aca="false">Sheet1!G48</f>
        <v>471.42</v>
      </c>
    </row>
    <row r="51" customFormat="false" ht="16.4" hidden="false" customHeight="false" outlineLevel="0" collapsed="false">
      <c r="A51" s="11" t="s">
        <v>30</v>
      </c>
      <c r="B51" s="11" t="s">
        <v>58</v>
      </c>
      <c r="C51" s="12" t="n">
        <v>-1651.29</v>
      </c>
      <c r="D51" s="12" t="n">
        <f aca="false">Sheet1!C49</f>
        <v>589.94</v>
      </c>
      <c r="E51" s="12" t="n">
        <f aca="false">Sheet1!D49</f>
        <v>385.9</v>
      </c>
      <c r="F51" s="12" t="n">
        <f aca="false">Sheet1!E49</f>
        <v>591.81</v>
      </c>
      <c r="G51" s="12" t="n">
        <f aca="false">Sheet1!F49</f>
        <v>525.39</v>
      </c>
      <c r="H51" s="12" t="n">
        <f aca="false">Sheet1!G49</f>
        <v>-2852.4</v>
      </c>
    </row>
    <row r="52" customFormat="false" ht="16.4" hidden="false" customHeight="false" outlineLevel="0" collapsed="false">
      <c r="A52" s="11" t="s">
        <v>30</v>
      </c>
      <c r="B52" s="11" t="s">
        <v>59</v>
      </c>
      <c r="C52" s="12" t="n">
        <v>4311</v>
      </c>
      <c r="D52" s="12" t="n">
        <f aca="false">Sheet1!C50</f>
        <v>0</v>
      </c>
      <c r="E52" s="12" t="n">
        <f aca="false">Sheet1!D50</f>
        <v>36</v>
      </c>
      <c r="F52" s="12" t="n">
        <f aca="false">Sheet1!E50</f>
        <v>34.66</v>
      </c>
      <c r="G52" s="12" t="n">
        <f aca="false">Sheet1!F50</f>
        <v>25</v>
      </c>
      <c r="H52" s="12" t="n">
        <f aca="false">Sheet1!G50</f>
        <v>0</v>
      </c>
    </row>
    <row r="53" customFormat="false" ht="16.4" hidden="false" customHeight="false" outlineLevel="0" collapsed="false">
      <c r="A53" s="11" t="s">
        <v>30</v>
      </c>
      <c r="B53" s="11" t="s">
        <v>60</v>
      </c>
      <c r="C53" s="12" t="n">
        <v>9007.01</v>
      </c>
      <c r="D53" s="12" t="n">
        <f aca="false">Sheet1!C51</f>
        <v>471.58</v>
      </c>
      <c r="E53" s="12" t="n">
        <f aca="false">Sheet1!D51</f>
        <v>484.94</v>
      </c>
      <c r="F53" s="12" t="n">
        <f aca="false">Sheet1!E51</f>
        <v>328.56</v>
      </c>
      <c r="G53" s="12" t="n">
        <f aca="false">Sheet1!F51</f>
        <v>473.67</v>
      </c>
      <c r="H53" s="12" t="n">
        <f aca="false">Sheet1!G51</f>
        <v>0</v>
      </c>
    </row>
    <row r="54" customFormat="false" ht="16.4" hidden="false" customHeight="false" outlineLevel="0" collapsed="false">
      <c r="A54" s="11" t="s">
        <v>30</v>
      </c>
      <c r="B54" s="11" t="s">
        <v>61</v>
      </c>
      <c r="C54" s="12"/>
      <c r="D54" s="12" t="n">
        <f aca="false">Sheet1!C52</f>
        <v>0</v>
      </c>
      <c r="E54" s="12" t="n">
        <f aca="false">Sheet1!D52</f>
        <v>0</v>
      </c>
      <c r="F54" s="12" t="n">
        <f aca="false">Sheet1!E52</f>
        <v>0</v>
      </c>
      <c r="G54" s="12" t="n">
        <f aca="false">Sheet1!F52</f>
        <v>0</v>
      </c>
      <c r="H54" s="12" t="n">
        <f aca="false">Sheet1!G52</f>
        <v>46.05</v>
      </c>
    </row>
    <row r="55" customFormat="false" ht="14.25" hidden="false" customHeight="false" outlineLevel="0" collapsed="false">
      <c r="A55" s="9"/>
      <c r="B55" s="9" t="s">
        <v>62</v>
      </c>
      <c r="C55" s="10" t="n">
        <v>1602.32</v>
      </c>
      <c r="D55" s="10"/>
      <c r="E55" s="10"/>
      <c r="F55" s="10"/>
      <c r="G55" s="10"/>
      <c r="H55" s="10"/>
    </row>
    <row r="56" customFormat="false" ht="14.25" hidden="false" customHeight="false" outlineLevel="0" collapsed="false">
      <c r="A56" s="9"/>
      <c r="B56" s="9" t="s">
        <v>63</v>
      </c>
      <c r="C56" s="10" t="n">
        <v>2015.06</v>
      </c>
      <c r="D56" s="10"/>
      <c r="E56" s="10"/>
      <c r="F56" s="10"/>
      <c r="G56" s="10"/>
      <c r="H56" s="10"/>
    </row>
    <row r="57" customFormat="false" ht="14.25" hidden="false" customHeight="false" outlineLevel="0" collapsed="false">
      <c r="A57" s="9"/>
      <c r="B57" s="9" t="s">
        <v>64</v>
      </c>
      <c r="C57" s="10" t="n">
        <v>-283.11</v>
      </c>
      <c r="D57" s="10"/>
      <c r="E57" s="10"/>
      <c r="F57" s="10"/>
      <c r="G57" s="10"/>
      <c r="H57" s="10"/>
    </row>
    <row r="58" customFormat="false" ht="14.25" hidden="false" customHeight="false" outlineLevel="0" collapsed="false">
      <c r="A58" s="11" t="s">
        <v>65</v>
      </c>
      <c r="B58" s="11" t="s">
        <v>66</v>
      </c>
      <c r="C58" s="12" t="n">
        <v>7879.4</v>
      </c>
      <c r="D58" s="12" t="n">
        <v>187516</v>
      </c>
      <c r="E58" s="12" t="n">
        <v>431402.99</v>
      </c>
      <c r="F58" s="12" t="n">
        <v>355934.64</v>
      </c>
      <c r="G58" s="12" t="n">
        <v>285246.15</v>
      </c>
      <c r="H58" s="12" t="n">
        <v>204486.69</v>
      </c>
    </row>
    <row r="59" customFormat="false" ht="14.25" hidden="false" customHeight="false" outlineLevel="0" collapsed="false">
      <c r="A59" s="11" t="s">
        <v>67</v>
      </c>
      <c r="B59" s="11" t="s">
        <v>68</v>
      </c>
      <c r="C59" s="12" t="n">
        <v>0</v>
      </c>
      <c r="D59" s="12" t="n">
        <v>20391.44</v>
      </c>
      <c r="E59" s="12" t="n">
        <v>22654.12</v>
      </c>
      <c r="F59" s="12" t="n">
        <v>24916.8</v>
      </c>
      <c r="G59" s="12" t="n">
        <v>25396.8</v>
      </c>
      <c r="H59" s="12" t="n">
        <v>27659.48</v>
      </c>
    </row>
    <row r="60" customFormat="false" ht="14.25" hidden="false" customHeight="false" outlineLevel="0" collapsed="false">
      <c r="A60" s="11" t="s">
        <v>69</v>
      </c>
      <c r="B60" s="11" t="s">
        <v>70</v>
      </c>
      <c r="C60" s="12"/>
      <c r="D60" s="12" t="n">
        <v>-3200</v>
      </c>
      <c r="E60" s="12" t="n">
        <v>8240.06</v>
      </c>
      <c r="F60" s="12" t="n">
        <v>15300</v>
      </c>
      <c r="G60" s="12" t="n">
        <v>15759.45</v>
      </c>
      <c r="H60" s="12" t="n">
        <v>12309.45</v>
      </c>
    </row>
    <row r="61" customFormat="false" ht="14.25" hidden="false" customHeight="false" outlineLevel="0" collapsed="false">
      <c r="A61" s="11" t="s">
        <v>69</v>
      </c>
      <c r="B61" s="11" t="s">
        <v>71</v>
      </c>
      <c r="C61" s="12"/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</row>
    <row r="62" customFormat="false" ht="14.25" hidden="false" customHeight="false" outlineLevel="0" collapsed="false">
      <c r="A62" s="11" t="s">
        <v>69</v>
      </c>
      <c r="B62" s="11" t="s">
        <v>72</v>
      </c>
      <c r="C62" s="12" t="n">
        <v>201839.13</v>
      </c>
      <c r="D62" s="12"/>
      <c r="E62" s="12" t="n">
        <v>0</v>
      </c>
      <c r="F62" s="12" t="n">
        <v>60</v>
      </c>
      <c r="G62" s="12" t="n">
        <v>120</v>
      </c>
      <c r="H62" s="12" t="n">
        <v>0</v>
      </c>
    </row>
    <row r="63" customFormat="false" ht="14.25" hidden="false" customHeight="false" outlineLevel="0" collapsed="false">
      <c r="A63" s="9"/>
      <c r="B63" s="9" t="s">
        <v>73</v>
      </c>
      <c r="C63" s="10" t="n">
        <v>-164060.07</v>
      </c>
      <c r="D63" s="10"/>
      <c r="E63" s="10"/>
      <c r="F63" s="10"/>
      <c r="G63" s="10"/>
      <c r="H63" s="10"/>
    </row>
    <row r="64" customFormat="false" ht="14.25" hidden="false" customHeight="false" outlineLevel="0" collapsed="false">
      <c r="A64" s="9"/>
      <c r="B64" s="9" t="s">
        <v>74</v>
      </c>
      <c r="C64" s="10" t="n">
        <v>123166.8</v>
      </c>
      <c r="D64" s="10"/>
      <c r="E64" s="10"/>
      <c r="F64" s="10"/>
      <c r="G64" s="10"/>
      <c r="H64" s="10"/>
    </row>
    <row r="65" customFormat="false" ht="14.25" hidden="false" customHeight="false" outlineLevel="0" collapsed="false">
      <c r="A65" s="11" t="s">
        <v>75</v>
      </c>
      <c r="B65" s="11" t="s">
        <v>76</v>
      </c>
      <c r="C65" s="12" t="n">
        <v>231544.98</v>
      </c>
      <c r="D65" s="12" t="n">
        <v>26889.01</v>
      </c>
      <c r="E65" s="12" t="n">
        <v>13445.9</v>
      </c>
      <c r="F65" s="12" t="n">
        <v>21214.55</v>
      </c>
      <c r="G65" s="12" t="n">
        <v>12165.28</v>
      </c>
      <c r="H65" s="12" t="n">
        <v>4665.28</v>
      </c>
    </row>
    <row r="66" customFormat="false" ht="14.25" hidden="false" customHeight="false" outlineLevel="0" collapsed="false">
      <c r="A66" s="11" t="s">
        <v>75</v>
      </c>
      <c r="B66" s="11" t="s">
        <v>77</v>
      </c>
      <c r="C66" s="12"/>
      <c r="D66" s="12"/>
      <c r="E66" s="12" t="n">
        <v>0</v>
      </c>
      <c r="F66" s="12" t="n">
        <v>0</v>
      </c>
      <c r="G66" s="12" t="n">
        <v>0</v>
      </c>
      <c r="H66" s="12" t="n">
        <v>0</v>
      </c>
    </row>
    <row r="67" customFormat="false" ht="14.25" hidden="false" customHeight="false" outlineLevel="0" collapsed="false">
      <c r="A67" s="11" t="s">
        <v>75</v>
      </c>
      <c r="B67" s="11" t="s">
        <v>78</v>
      </c>
      <c r="C67" s="12"/>
      <c r="D67" s="12" t="n">
        <v>15925</v>
      </c>
      <c r="E67" s="12" t="n">
        <v>0</v>
      </c>
      <c r="F67" s="12" t="n">
        <v>0</v>
      </c>
      <c r="G67" s="12" t="n">
        <v>0</v>
      </c>
      <c r="H67" s="12" t="n">
        <v>0</v>
      </c>
    </row>
    <row r="68" customFormat="false" ht="14.25" hidden="false" customHeight="false" outlineLevel="0" collapsed="false">
      <c r="A68" s="9"/>
      <c r="B68" s="9" t="s">
        <v>79</v>
      </c>
      <c r="C68" s="10"/>
      <c r="D68" s="10"/>
      <c r="E68" s="10"/>
      <c r="F68" s="10"/>
      <c r="G68" s="10"/>
      <c r="H68" s="10"/>
    </row>
    <row r="69" customFormat="false" ht="14.25" hidden="false" customHeight="false" outlineLevel="0" collapsed="false">
      <c r="A69" s="11"/>
      <c r="B69" s="11" t="s">
        <v>80</v>
      </c>
      <c r="C69" s="12"/>
      <c r="D69" s="12" t="n">
        <v>220000</v>
      </c>
      <c r="E69" s="12" t="n">
        <v>220000</v>
      </c>
      <c r="F69" s="12" t="n">
        <v>220000</v>
      </c>
      <c r="G69" s="12" t="n">
        <v>220000</v>
      </c>
      <c r="H69" s="12" t="n">
        <v>220000</v>
      </c>
    </row>
    <row r="70" customFormat="false" ht="14.25" hidden="false" customHeight="false" outlineLevel="0" collapsed="false">
      <c r="A70" s="9"/>
      <c r="B70" s="9" t="s">
        <v>81</v>
      </c>
      <c r="C70" s="10"/>
      <c r="D70" s="10"/>
      <c r="E70" s="10"/>
      <c r="F70" s="10"/>
      <c r="G70" s="10"/>
      <c r="H70" s="10"/>
    </row>
    <row r="71" customFormat="false" ht="14.25" hidden="false" customHeight="false" outlineLevel="0" collapsed="false">
      <c r="A71" s="11" t="s">
        <v>82</v>
      </c>
      <c r="B71" s="11" t="s">
        <v>83</v>
      </c>
      <c r="C71" s="12"/>
      <c r="D71" s="12" t="n">
        <v>1269750</v>
      </c>
      <c r="E71" s="12" t="n">
        <v>1619750</v>
      </c>
      <c r="F71" s="12" t="n">
        <v>1619750</v>
      </c>
      <c r="G71" s="12" t="n">
        <v>1619750</v>
      </c>
      <c r="H71" s="12" t="n">
        <v>1619750</v>
      </c>
    </row>
    <row r="72" customFormat="false" ht="14.25" hidden="false" customHeight="false" outlineLevel="0" collapsed="false">
      <c r="A72" s="11" t="s">
        <v>82</v>
      </c>
      <c r="B72" s="11" t="s">
        <v>84</v>
      </c>
      <c r="C72" s="12"/>
      <c r="D72" s="12" t="n">
        <v>-5000</v>
      </c>
      <c r="E72" s="12" t="n">
        <v>-5000</v>
      </c>
      <c r="F72" s="12" t="n">
        <v>-5000</v>
      </c>
      <c r="G72" s="12" t="n">
        <v>-5000</v>
      </c>
      <c r="H72" s="12" t="n">
        <v>-5000</v>
      </c>
    </row>
    <row r="73" customFormat="false" ht="14.25" hidden="false" customHeight="false" outlineLevel="0" collapsed="false">
      <c r="A73" s="11" t="s">
        <v>85</v>
      </c>
      <c r="B73" s="11" t="s">
        <v>86</v>
      </c>
      <c r="C73" s="12"/>
      <c r="D73" s="12" t="n">
        <v>-1244527.6</v>
      </c>
      <c r="E73" s="12" t="n">
        <v>-1244527.6</v>
      </c>
      <c r="F73" s="12" t="n">
        <v>-1244527.6</v>
      </c>
      <c r="G73" s="12" t="n">
        <v>-1244527.6</v>
      </c>
      <c r="H73" s="12" t="n">
        <v>-1244527.6</v>
      </c>
    </row>
    <row r="74" customFormat="false" ht="14.25" hidden="false" customHeight="false" outlineLevel="0" collapsed="false">
      <c r="A74" s="11" t="s">
        <v>87</v>
      </c>
      <c r="B74" s="11" t="s">
        <v>88</v>
      </c>
      <c r="C74" s="12"/>
      <c r="D74" s="12" t="n">
        <v>-78328.97</v>
      </c>
      <c r="E74" s="12" t="n">
        <v>-141371.13</v>
      </c>
      <c r="F74" s="12" t="n">
        <v>-215225.51</v>
      </c>
      <c r="G74" s="12" t="n">
        <v>-275865.28</v>
      </c>
      <c r="H74" s="12" t="n">
        <v>-350432.06</v>
      </c>
    </row>
  </sheetData>
  <conditionalFormatting sqref="B15:B5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K3" activeCellId="0" sqref="K3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46.89"/>
    <col collapsed="false" customWidth="true" hidden="false" outlineLevel="0" max="6" min="3" style="1" width="10"/>
  </cols>
  <sheetData>
    <row r="2" customFormat="false" ht="14.25" hidden="false" customHeight="false" outlineLevel="0" collapsed="false">
      <c r="C2" s="13" t="s">
        <v>7</v>
      </c>
      <c r="D2" s="13" t="s">
        <v>8</v>
      </c>
      <c r="E2" s="13" t="s">
        <v>9</v>
      </c>
      <c r="F2" s="13" t="s">
        <v>10</v>
      </c>
      <c r="G2" s="13" t="s">
        <v>11</v>
      </c>
    </row>
    <row r="3" customFormat="false" ht="14.25" hidden="false" customHeight="false" outlineLevel="0" collapsed="false">
      <c r="B3" s="14"/>
      <c r="C3" s="15"/>
      <c r="D3" s="15"/>
      <c r="E3" s="15"/>
      <c r="F3" s="15"/>
      <c r="G3" s="15"/>
    </row>
    <row r="4" customFormat="false" ht="14.25" hidden="false" customHeight="false" outlineLevel="0" collapsed="false">
      <c r="B4" s="14" t="s">
        <v>88</v>
      </c>
      <c r="C4" s="15"/>
      <c r="D4" s="15"/>
      <c r="E4" s="15"/>
      <c r="F4" s="15"/>
      <c r="G4" s="15"/>
    </row>
    <row r="5" customFormat="false" ht="14.25" hidden="false" customHeight="false" outlineLevel="0" collapsed="false">
      <c r="B5" s="14" t="s">
        <v>89</v>
      </c>
      <c r="C5" s="16" t="n">
        <v>5813.85</v>
      </c>
      <c r="D5" s="16" t="n">
        <v>5813.85</v>
      </c>
      <c r="E5" s="16" t="n">
        <v>5873.85</v>
      </c>
      <c r="F5" s="16" t="n">
        <v>5873.85</v>
      </c>
      <c r="G5" s="16" t="n">
        <v>5248.18</v>
      </c>
    </row>
    <row r="6" customFormat="false" ht="14.25" hidden="false" customHeight="false" outlineLevel="0" collapsed="false">
      <c r="B6" s="14" t="s">
        <v>15</v>
      </c>
      <c r="C6" s="15"/>
      <c r="D6" s="15"/>
      <c r="E6" s="15"/>
      <c r="F6" s="15"/>
      <c r="G6" s="15"/>
    </row>
    <row r="7" customFormat="false" ht="14.25" hidden="false" customHeight="false" outlineLevel="0" collapsed="false">
      <c r="B7" s="14" t="s">
        <v>16</v>
      </c>
      <c r="C7" s="15"/>
      <c r="D7" s="15"/>
      <c r="E7" s="16" t="n">
        <v>0</v>
      </c>
      <c r="F7" s="16" t="n">
        <v>0</v>
      </c>
      <c r="G7" s="16" t="n">
        <v>0</v>
      </c>
    </row>
    <row r="8" customFormat="false" ht="14.25" hidden="false" customHeight="false" outlineLevel="0" collapsed="false">
      <c r="B8" s="14" t="s">
        <v>17</v>
      </c>
      <c r="C8" s="15"/>
      <c r="D8" s="15"/>
      <c r="E8" s="15"/>
      <c r="F8" s="15"/>
      <c r="G8" s="15"/>
    </row>
    <row r="9" customFormat="false" ht="14.25" hidden="false" customHeight="false" outlineLevel="0" collapsed="false">
      <c r="B9" s="14" t="s">
        <v>89</v>
      </c>
      <c r="C9" s="15"/>
      <c r="D9" s="15"/>
      <c r="E9" s="15"/>
      <c r="F9" s="16"/>
      <c r="G9" s="16"/>
    </row>
    <row r="10" customFormat="false" ht="14.25" hidden="false" customHeight="false" outlineLevel="0" collapsed="false">
      <c r="B10" s="14" t="s">
        <v>19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</row>
    <row r="11" customFormat="false" ht="14.25" hidden="false" customHeight="false" outlineLevel="0" collapsed="false">
      <c r="B11" s="14" t="s">
        <v>20</v>
      </c>
      <c r="C11" s="16" t="n">
        <v>-565.67</v>
      </c>
      <c r="D11" s="16" t="n">
        <v>-565.67</v>
      </c>
      <c r="E11" s="16" t="n">
        <v>-565.67</v>
      </c>
      <c r="F11" s="16" t="n">
        <v>-565.67</v>
      </c>
      <c r="G11" s="16" t="n">
        <v>0</v>
      </c>
    </row>
    <row r="12" customFormat="false" ht="14.25" hidden="false" customHeight="false" outlineLevel="0" collapsed="false">
      <c r="B12" s="14" t="e">
        <f aca="false">#VALUE!</f>
        <v>#VALUE!</v>
      </c>
      <c r="C12" s="17" t="n">
        <v>5248.18</v>
      </c>
      <c r="D12" s="17" t="n">
        <v>5248.18</v>
      </c>
      <c r="E12" s="17" t="n">
        <v>5308.18</v>
      </c>
      <c r="F12" s="17" t="n">
        <v>5308.18</v>
      </c>
      <c r="G12" s="17" t="n">
        <v>5248.18</v>
      </c>
    </row>
    <row r="13" customFormat="false" ht="14.25" hidden="false" customHeight="false" outlineLevel="0" collapsed="false">
      <c r="B13" s="14" t="s">
        <v>23</v>
      </c>
      <c r="C13" s="15"/>
      <c r="D13" s="15"/>
      <c r="E13" s="15"/>
      <c r="F13" s="15"/>
      <c r="G13" s="15"/>
    </row>
    <row r="14" customFormat="false" ht="14.25" hidden="false" customHeight="false" outlineLevel="0" collapsed="false">
      <c r="B14" s="14" t="s">
        <v>24</v>
      </c>
      <c r="C14" s="15"/>
      <c r="D14" s="15"/>
      <c r="E14" s="15"/>
      <c r="F14" s="15"/>
      <c r="G14" s="15"/>
    </row>
    <row r="15" customFormat="false" ht="14.25" hidden="false" customHeight="false" outlineLevel="0" collapsed="false">
      <c r="B15" s="14" t="s">
        <v>90</v>
      </c>
      <c r="C15" s="16" t="n">
        <v>24418.58</v>
      </c>
      <c r="D15" s="16" t="n">
        <v>16601.56</v>
      </c>
      <c r="E15" s="16" t="n">
        <v>16491.56</v>
      </c>
      <c r="F15" s="16" t="n">
        <v>7355.78</v>
      </c>
      <c r="G15" s="15"/>
    </row>
    <row r="16" customFormat="false" ht="14.25" hidden="false" customHeight="false" outlineLevel="0" collapsed="false">
      <c r="B16" s="14" t="s">
        <v>91</v>
      </c>
      <c r="C16" s="16" t="n">
        <v>1633.08</v>
      </c>
      <c r="D16" s="16" t="n">
        <v>1197.09</v>
      </c>
      <c r="E16" s="16" t="n">
        <v>1189.45</v>
      </c>
      <c r="F16" s="16" t="n">
        <v>594.72</v>
      </c>
      <c r="G16" s="15"/>
    </row>
    <row r="17" customFormat="false" ht="14.25" hidden="false" customHeight="false" outlineLevel="0" collapsed="false">
      <c r="B17" s="14" t="s">
        <v>25</v>
      </c>
      <c r="C17" s="16" t="n">
        <v>1364.26</v>
      </c>
      <c r="D17" s="16" t="n">
        <v>1530.25</v>
      </c>
      <c r="E17" s="16" t="n">
        <v>2616.47</v>
      </c>
      <c r="F17" s="16" t="n">
        <v>1600.58</v>
      </c>
      <c r="G17" s="16" t="n">
        <v>1596.51</v>
      </c>
    </row>
    <row r="18" customFormat="false" ht="14.25" hidden="false" customHeight="false" outlineLevel="0" collapsed="false">
      <c r="B18" s="14" t="s">
        <v>26</v>
      </c>
      <c r="C18" s="15"/>
      <c r="D18" s="15"/>
      <c r="E18" s="15"/>
      <c r="F18" s="15"/>
      <c r="G18" s="15"/>
    </row>
    <row r="19" customFormat="false" ht="14.25" hidden="false" customHeight="false" outlineLevel="0" collapsed="false">
      <c r="B19" s="14" t="s">
        <v>92</v>
      </c>
      <c r="C19" s="16" t="n">
        <v>2957.89</v>
      </c>
      <c r="D19" s="16" t="n">
        <v>2203.27</v>
      </c>
      <c r="E19" s="16" t="n">
        <v>2175.77</v>
      </c>
      <c r="F19" s="16" t="n">
        <v>865.39</v>
      </c>
      <c r="G19" s="15"/>
    </row>
    <row r="20" customFormat="false" ht="14.25" hidden="false" customHeight="false" outlineLevel="0" collapsed="false">
      <c r="B20" s="14" t="s">
        <v>47</v>
      </c>
      <c r="C20" s="16" t="n">
        <v>184.54</v>
      </c>
      <c r="D20" s="16" t="n">
        <v>141.48</v>
      </c>
      <c r="E20" s="16" t="n">
        <v>142.25</v>
      </c>
      <c r="F20" s="16" t="n">
        <v>71.13</v>
      </c>
      <c r="G20" s="15"/>
    </row>
    <row r="21" customFormat="false" ht="14.25" hidden="false" customHeight="false" outlineLevel="0" collapsed="false">
      <c r="B21" s="14" t="s">
        <v>93</v>
      </c>
      <c r="C21" s="17" t="n">
        <v>30558.35</v>
      </c>
      <c r="D21" s="17" t="n">
        <v>21673.65</v>
      </c>
      <c r="E21" s="17" t="n">
        <v>22615.5</v>
      </c>
      <c r="F21" s="17" t="n">
        <v>10487.6</v>
      </c>
      <c r="G21" s="17" t="n">
        <v>1596.51</v>
      </c>
    </row>
    <row r="22" customFormat="false" ht="14.25" hidden="false" customHeight="false" outlineLevel="0" collapsed="false">
      <c r="B22" s="14" t="s">
        <v>31</v>
      </c>
      <c r="C22" s="15"/>
      <c r="D22" s="15"/>
      <c r="E22" s="15"/>
      <c r="F22" s="15"/>
      <c r="G22" s="15"/>
    </row>
    <row r="23" customFormat="false" ht="14.25" hidden="false" customHeight="false" outlineLevel="0" collapsed="false">
      <c r="B23" s="14" t="s">
        <v>32</v>
      </c>
      <c r="C23" s="15"/>
      <c r="D23" s="15"/>
      <c r="E23" s="15"/>
      <c r="F23" s="16" t="n">
        <v>28172.03</v>
      </c>
      <c r="G23" s="16" t="n">
        <v>56579.49</v>
      </c>
    </row>
    <row r="24" customFormat="false" ht="14.25" hidden="false" customHeight="false" outlineLevel="0" collapsed="false">
      <c r="B24" s="14" t="s">
        <v>92</v>
      </c>
      <c r="C24" s="16" t="n">
        <v>5346.16</v>
      </c>
      <c r="D24" s="16" t="n">
        <v>3846.15</v>
      </c>
      <c r="E24" s="16" t="n">
        <v>5328</v>
      </c>
      <c r="F24" s="16" t="n">
        <v>1923.08</v>
      </c>
      <c r="G24" s="15"/>
    </row>
    <row r="25" s="18" customFormat="true" ht="14.25" hidden="false" customHeight="false" outlineLevel="0" collapsed="false">
      <c r="A25" s="1"/>
      <c r="B25" s="14" t="s">
        <v>47</v>
      </c>
      <c r="C25" s="16" t="n">
        <v>360.62</v>
      </c>
      <c r="D25" s="16" t="n">
        <v>339.61</v>
      </c>
      <c r="E25" s="16" t="n">
        <v>343.46</v>
      </c>
      <c r="F25" s="16" t="n">
        <v>171.73</v>
      </c>
      <c r="G25" s="15"/>
    </row>
    <row r="26" customFormat="false" ht="14.25" hidden="false" customHeight="false" outlineLevel="0" collapsed="false">
      <c r="A26" s="18"/>
      <c r="B26" s="19" t="s">
        <v>35</v>
      </c>
      <c r="C26" s="20"/>
      <c r="D26" s="20"/>
      <c r="E26" s="21" t="n">
        <v>1001</v>
      </c>
      <c r="F26" s="21" t="n">
        <v>1001</v>
      </c>
      <c r="G26" s="20"/>
    </row>
    <row r="27" customFormat="false" ht="14.25" hidden="false" customHeight="false" outlineLevel="0" collapsed="false">
      <c r="B27" s="14" t="s">
        <v>36</v>
      </c>
      <c r="C27" s="16" t="n">
        <v>8188.52</v>
      </c>
      <c r="D27" s="16" t="n">
        <v>6222.27</v>
      </c>
      <c r="E27" s="16" t="n">
        <v>229.02</v>
      </c>
      <c r="F27" s="15"/>
      <c r="G27" s="15"/>
    </row>
    <row r="28" customFormat="false" ht="14.25" hidden="false" customHeight="false" outlineLevel="0" collapsed="false">
      <c r="B28" s="14" t="s">
        <v>37</v>
      </c>
      <c r="C28" s="16" t="n">
        <v>508.96</v>
      </c>
      <c r="D28" s="15"/>
      <c r="E28" s="15"/>
      <c r="F28" s="15"/>
      <c r="G28" s="15"/>
    </row>
    <row r="29" customFormat="false" ht="14.25" hidden="false" customHeight="false" outlineLevel="0" collapsed="false">
      <c r="B29" s="14" t="s">
        <v>38</v>
      </c>
      <c r="C29" s="15"/>
      <c r="D29" s="16" t="n">
        <v>250</v>
      </c>
      <c r="E29" s="16" t="n">
        <v>7779.88</v>
      </c>
      <c r="F29" s="16" t="n">
        <v>250</v>
      </c>
      <c r="G29" s="16" t="n">
        <v>250</v>
      </c>
    </row>
    <row r="30" customFormat="false" ht="14.25" hidden="false" customHeight="false" outlineLevel="0" collapsed="false">
      <c r="B30" s="14" t="s">
        <v>39</v>
      </c>
      <c r="C30" s="16" t="n">
        <v>138.92</v>
      </c>
      <c r="D30" s="16" t="n">
        <v>1303.19</v>
      </c>
      <c r="E30" s="16" t="n">
        <v>1464.5</v>
      </c>
      <c r="F30" s="16" t="n">
        <v>29.59</v>
      </c>
      <c r="G30" s="15"/>
    </row>
    <row r="31" customFormat="false" ht="14.25" hidden="false" customHeight="false" outlineLevel="0" collapsed="false">
      <c r="B31" s="14" t="s">
        <v>40</v>
      </c>
      <c r="C31" s="15"/>
      <c r="D31" s="15"/>
      <c r="E31" s="15"/>
      <c r="F31" s="15"/>
      <c r="G31" s="15"/>
    </row>
    <row r="32" customFormat="false" ht="14.25" hidden="false" customHeight="false" outlineLevel="0" collapsed="false">
      <c r="B32" s="14" t="s">
        <v>41</v>
      </c>
      <c r="C32" s="16" t="n">
        <v>1105.4</v>
      </c>
      <c r="D32" s="16" t="n">
        <v>1416</v>
      </c>
      <c r="E32" s="16" t="n">
        <v>1760.13</v>
      </c>
      <c r="F32" s="15"/>
      <c r="G32" s="15"/>
    </row>
    <row r="33" customFormat="false" ht="14.25" hidden="false" customHeight="false" outlineLevel="0" collapsed="false">
      <c r="B33" s="14" t="s">
        <v>42</v>
      </c>
      <c r="C33" s="16" t="n">
        <v>68.06</v>
      </c>
      <c r="D33" s="16" t="n">
        <v>68.06</v>
      </c>
      <c r="E33" s="16" t="n">
        <v>783.88</v>
      </c>
      <c r="F33" s="16" t="n">
        <v>68.06</v>
      </c>
      <c r="G33" s="16" t="n">
        <v>68.06</v>
      </c>
    </row>
    <row r="34" customFormat="false" ht="14.25" hidden="false" customHeight="false" outlineLevel="0" collapsed="false">
      <c r="B34" s="14" t="s">
        <v>49</v>
      </c>
      <c r="C34" s="16" t="n">
        <v>120</v>
      </c>
      <c r="D34" s="16" t="n">
        <v>120</v>
      </c>
      <c r="E34" s="16" t="n">
        <v>-439.75</v>
      </c>
      <c r="F34" s="16" t="n">
        <v>164</v>
      </c>
      <c r="G34" s="16" t="n">
        <v>164</v>
      </c>
    </row>
    <row r="35" customFormat="false" ht="14.25" hidden="false" customHeight="false" outlineLevel="0" collapsed="false">
      <c r="B35" s="14" t="s">
        <v>44</v>
      </c>
      <c r="C35" s="15"/>
      <c r="D35" s="15"/>
      <c r="E35" s="15"/>
      <c r="F35" s="15"/>
      <c r="G35" s="15"/>
    </row>
    <row r="36" customFormat="false" ht="14.25" hidden="false" customHeight="false" outlineLevel="0" collapsed="false">
      <c r="B36" s="14" t="s">
        <v>45</v>
      </c>
      <c r="C36" s="15"/>
      <c r="D36" s="15"/>
      <c r="E36" s="15"/>
      <c r="F36" s="15"/>
      <c r="G36" s="15"/>
    </row>
    <row r="37" customFormat="false" ht="14.25" hidden="false" customHeight="false" outlineLevel="0" collapsed="false">
      <c r="B37" s="14" t="s">
        <v>46</v>
      </c>
      <c r="C37" s="16" t="n">
        <v>1730.77</v>
      </c>
      <c r="D37" s="16" t="n">
        <v>1153.85</v>
      </c>
      <c r="E37" s="16" t="n">
        <v>1153.84</v>
      </c>
      <c r="F37" s="16" t="n">
        <v>5384.62</v>
      </c>
      <c r="G37" s="15"/>
    </row>
    <row r="38" customFormat="false" ht="14.25" hidden="false" customHeight="false" outlineLevel="0" collapsed="false">
      <c r="B38" s="14" t="s">
        <v>47</v>
      </c>
      <c r="C38" s="16" t="n">
        <v>159.12</v>
      </c>
      <c r="D38" s="16" t="n">
        <v>101.88</v>
      </c>
      <c r="E38" s="16" t="n">
        <v>103.04</v>
      </c>
      <c r="F38" s="16" t="n">
        <v>577.97</v>
      </c>
      <c r="G38" s="15"/>
    </row>
    <row r="39" customFormat="false" ht="14.25" hidden="false" customHeight="false" outlineLevel="0" collapsed="false">
      <c r="B39" s="14" t="s">
        <v>48</v>
      </c>
      <c r="C39" s="15"/>
      <c r="D39" s="15"/>
      <c r="E39" s="16" t="n">
        <v>2467.25</v>
      </c>
      <c r="F39" s="15"/>
      <c r="G39" s="15"/>
    </row>
    <row r="40" customFormat="false" ht="14.25" hidden="false" customHeight="false" outlineLevel="0" collapsed="false">
      <c r="B40" s="14" t="s">
        <v>49</v>
      </c>
      <c r="C40" s="16" t="n">
        <v>171.12</v>
      </c>
      <c r="D40" s="16" t="n">
        <v>171.69</v>
      </c>
      <c r="E40" s="16" t="n">
        <v>170.48</v>
      </c>
      <c r="F40" s="16" t="n">
        <v>436.27</v>
      </c>
      <c r="G40" s="16" t="n">
        <v>149.79</v>
      </c>
    </row>
    <row r="41" customFormat="false" ht="14.25" hidden="false" customHeight="false" outlineLevel="0" collapsed="false">
      <c r="B41" s="14" t="s">
        <v>50</v>
      </c>
      <c r="C41" s="16" t="n">
        <v>4185</v>
      </c>
      <c r="D41" s="16" t="n">
        <v>2307.7</v>
      </c>
      <c r="E41" s="16" t="n">
        <v>2307.7</v>
      </c>
      <c r="F41" s="16" t="n">
        <v>1153.85</v>
      </c>
      <c r="G41" s="15"/>
    </row>
    <row r="42" customFormat="false" ht="14.25" hidden="false" customHeight="false" outlineLevel="0" collapsed="false">
      <c r="B42" s="14" t="s">
        <v>47</v>
      </c>
      <c r="C42" s="16" t="n">
        <v>662.84</v>
      </c>
      <c r="D42" s="16" t="n">
        <v>1024.98</v>
      </c>
      <c r="E42" s="16" t="n">
        <v>1403.12</v>
      </c>
      <c r="F42" s="16" t="n">
        <v>695.23</v>
      </c>
      <c r="G42" s="15"/>
    </row>
    <row r="43" customFormat="false" ht="14.25" hidden="false" customHeight="false" outlineLevel="0" collapsed="false">
      <c r="B43" s="14" t="s">
        <v>35</v>
      </c>
      <c r="C43" s="15"/>
      <c r="D43" s="15"/>
      <c r="E43" s="16" t="n">
        <v>120</v>
      </c>
      <c r="F43" s="15"/>
      <c r="G43" s="15"/>
    </row>
    <row r="44" customFormat="false" ht="14.25" hidden="false" customHeight="false" outlineLevel="0" collapsed="false">
      <c r="B44" s="14" t="s">
        <v>53</v>
      </c>
      <c r="C44" s="16" t="n">
        <v>18825.1</v>
      </c>
      <c r="D44" s="16" t="n">
        <v>13903.86</v>
      </c>
      <c r="E44" s="16" t="n">
        <v>16578.01</v>
      </c>
      <c r="F44" s="16" t="n">
        <v>7548.08</v>
      </c>
      <c r="G44" s="15"/>
    </row>
    <row r="45" customFormat="false" ht="14.25" hidden="false" customHeight="false" outlineLevel="0" collapsed="false">
      <c r="B45" s="14" t="s">
        <v>54</v>
      </c>
      <c r="C45" s="16" t="n">
        <v>7225.95</v>
      </c>
      <c r="D45" s="16" t="n">
        <v>5597.69</v>
      </c>
      <c r="E45" s="16" t="n">
        <v>5275.4</v>
      </c>
      <c r="F45" s="15"/>
      <c r="G45" s="16" t="n">
        <v>5343.05</v>
      </c>
    </row>
    <row r="46" customFormat="false" ht="14.25" hidden="false" customHeight="false" outlineLevel="0" collapsed="false">
      <c r="B46" s="14" t="s">
        <v>55</v>
      </c>
      <c r="C46" s="15"/>
      <c r="D46" s="16" t="n">
        <v>6000</v>
      </c>
      <c r="E46" s="16" t="n">
        <v>5111.25</v>
      </c>
      <c r="F46" s="16" t="n">
        <v>3000</v>
      </c>
      <c r="G46" s="16" t="n">
        <v>5050</v>
      </c>
    </row>
    <row r="47" customFormat="false" ht="14.25" hidden="false" customHeight="false" outlineLevel="0" collapsed="false">
      <c r="B47" s="14" t="s">
        <v>56</v>
      </c>
      <c r="C47" s="16" t="n">
        <v>1390.08</v>
      </c>
      <c r="D47" s="16" t="n">
        <v>1240.09</v>
      </c>
      <c r="E47" s="16" t="n">
        <v>2077.99</v>
      </c>
      <c r="F47" s="16" t="n">
        <v>1435</v>
      </c>
      <c r="G47" s="16" t="n">
        <v>12948.99</v>
      </c>
    </row>
    <row r="48" customFormat="false" ht="14.25" hidden="false" customHeight="false" outlineLevel="0" collapsed="false">
      <c r="B48" s="14" t="s">
        <v>49</v>
      </c>
      <c r="C48" s="16" t="n">
        <v>1770.66</v>
      </c>
      <c r="D48" s="16" t="n">
        <v>642.83</v>
      </c>
      <c r="E48" s="16" t="n">
        <v>573.83</v>
      </c>
      <c r="F48" s="16" t="n">
        <v>2425.78</v>
      </c>
      <c r="G48" s="16" t="n">
        <v>471.42</v>
      </c>
    </row>
    <row r="49" customFormat="false" ht="14.25" hidden="false" customHeight="false" outlineLevel="0" collapsed="false">
      <c r="B49" s="14" t="s">
        <v>58</v>
      </c>
      <c r="C49" s="16" t="n">
        <v>589.94</v>
      </c>
      <c r="D49" s="16" t="n">
        <v>385.9</v>
      </c>
      <c r="E49" s="16" t="n">
        <v>591.81</v>
      </c>
      <c r="F49" s="16" t="n">
        <v>525.39</v>
      </c>
      <c r="G49" s="16" t="n">
        <v>-2852.4</v>
      </c>
    </row>
    <row r="50" customFormat="false" ht="14.25" hidden="false" customHeight="false" outlineLevel="0" collapsed="false">
      <c r="B50" s="14" t="s">
        <v>59</v>
      </c>
      <c r="C50" s="15"/>
      <c r="D50" s="16" t="n">
        <v>36</v>
      </c>
      <c r="E50" s="16" t="n">
        <v>34.66</v>
      </c>
      <c r="F50" s="16" t="n">
        <v>25</v>
      </c>
      <c r="G50" s="15"/>
    </row>
    <row r="51" customFormat="false" ht="14.25" hidden="false" customHeight="false" outlineLevel="0" collapsed="false">
      <c r="B51" s="14" t="s">
        <v>60</v>
      </c>
      <c r="C51" s="16" t="n">
        <v>471.58</v>
      </c>
      <c r="D51" s="16" t="n">
        <v>484.94</v>
      </c>
      <c r="E51" s="16" t="n">
        <v>328.56</v>
      </c>
      <c r="F51" s="16" t="n">
        <v>473.67</v>
      </c>
      <c r="G51" s="15"/>
    </row>
    <row r="52" customFormat="false" ht="14.25" hidden="false" customHeight="false" outlineLevel="0" collapsed="false">
      <c r="B52" s="14" t="s">
        <v>94</v>
      </c>
      <c r="C52" s="15"/>
      <c r="D52" s="15"/>
      <c r="E52" s="15"/>
      <c r="F52" s="15"/>
      <c r="G52" s="16" t="n">
        <v>46.05</v>
      </c>
    </row>
  </sheetData>
  <conditionalFormatting sqref="B13:B52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19.11"/>
    <col collapsed="false" customWidth="true" hidden="false" outlineLevel="0" max="3" min="3" style="1" width="10.11"/>
    <col collapsed="false" customWidth="true" hidden="false" outlineLevel="0" max="4" min="4" style="1" width="10.22"/>
    <col collapsed="false" customWidth="true" hidden="false" outlineLevel="0" max="6" min="6" style="1" width="10"/>
  </cols>
  <sheetData>
    <row r="1" customFormat="false" ht="14.25" hidden="false" customHeight="false" outlineLevel="0" collapsed="false">
      <c r="A1" s="22" t="s">
        <v>95</v>
      </c>
      <c r="B1" s="22" t="s">
        <v>96</v>
      </c>
      <c r="C1" s="22" t="s">
        <v>97</v>
      </c>
      <c r="D1" s="22" t="s">
        <v>98</v>
      </c>
      <c r="E1" s="22" t="s">
        <v>99</v>
      </c>
      <c r="F1" s="22" t="s">
        <v>100</v>
      </c>
    </row>
    <row r="2" customFormat="false" ht="14.25" hidden="false" customHeight="false" outlineLevel="0" collapsed="false">
      <c r="A2" s="23" t="s">
        <v>101</v>
      </c>
      <c r="B2" s="24"/>
      <c r="C2" s="24"/>
      <c r="D2" s="24"/>
      <c r="E2" s="24"/>
      <c r="F2" s="24"/>
    </row>
    <row r="3" customFormat="false" ht="14.25" hidden="false" customHeight="false" outlineLevel="0" collapsed="false">
      <c r="A3" s="25" t="s">
        <v>102</v>
      </c>
      <c r="B3" s="26" t="n">
        <f aca="false">'Financial Data'!H7+'Financial Data'!H10</f>
        <v>5248.18</v>
      </c>
      <c r="C3" s="26" t="n">
        <f aca="false">'Financial Data'!G7+'Financial Data'!G10</f>
        <v>5873.85</v>
      </c>
      <c r="D3" s="27" t="n">
        <f aca="false">(B3-C3)</f>
        <v>-625.67</v>
      </c>
      <c r="E3" s="28" t="n">
        <v>-0.11</v>
      </c>
      <c r="F3" s="29" t="n">
        <v>5665</v>
      </c>
    </row>
    <row r="4" customFormat="false" ht="14.25" hidden="false" customHeight="false" outlineLevel="0" collapsed="false">
      <c r="A4" s="25" t="s">
        <v>103</v>
      </c>
      <c r="B4" s="29" t="n">
        <f aca="false">B3*12</f>
        <v>62978.16</v>
      </c>
      <c r="C4" s="29" t="n">
        <f aca="false">C3*12</f>
        <v>70486.2</v>
      </c>
      <c r="D4" s="27" t="n">
        <f aca="false">(B4-C4)</f>
        <v>-7508.04000000001</v>
      </c>
      <c r="E4" s="28" t="n">
        <v>-0.11</v>
      </c>
      <c r="F4" s="29" t="n">
        <f aca="false">F3*12</f>
        <v>67980</v>
      </c>
    </row>
    <row r="5" customFormat="false" ht="14.25" hidden="false" customHeight="false" outlineLevel="0" collapsed="false">
      <c r="A5" s="30" t="s">
        <v>104</v>
      </c>
      <c r="B5" s="29"/>
      <c r="C5" s="29"/>
      <c r="D5" s="29"/>
      <c r="E5" s="29"/>
      <c r="F5" s="29"/>
    </row>
    <row r="6" customFormat="false" ht="14.25" hidden="false" customHeight="false" outlineLevel="0" collapsed="false">
      <c r="A6" s="25" t="s">
        <v>105</v>
      </c>
      <c r="B6" s="29" t="n">
        <v>0</v>
      </c>
      <c r="C6" s="29" t="n">
        <v>0</v>
      </c>
      <c r="D6" s="27" t="n">
        <f aca="false">(B6-C6)</f>
        <v>0</v>
      </c>
      <c r="E6" s="28" t="n">
        <f aca="false">IFERROR(D6/C6,0)</f>
        <v>0</v>
      </c>
      <c r="F6" s="29" t="n">
        <v>0</v>
      </c>
    </row>
    <row r="7" customFormat="false" ht="14.25" hidden="false" customHeight="false" outlineLevel="0" collapsed="false">
      <c r="A7" s="25" t="s">
        <v>106</v>
      </c>
      <c r="B7" s="29" t="n">
        <v>328</v>
      </c>
      <c r="C7" s="29" t="n">
        <v>328</v>
      </c>
      <c r="D7" s="27" t="n">
        <f aca="false">(B7-C7)</f>
        <v>0</v>
      </c>
      <c r="E7" s="28" t="n">
        <f aca="false">IFERROR(D7/C7,0)</f>
        <v>0</v>
      </c>
      <c r="F7" s="29" t="n">
        <v>0</v>
      </c>
    </row>
    <row r="8" customFormat="false" ht="14.25" hidden="false" customHeight="false" outlineLevel="0" collapsed="false">
      <c r="A8" s="25" t="s">
        <v>107</v>
      </c>
      <c r="B8" s="29" t="n">
        <v>0</v>
      </c>
      <c r="C8" s="29" t="n">
        <v>0</v>
      </c>
      <c r="D8" s="27" t="n">
        <f aca="false">(B8-C8)</f>
        <v>0</v>
      </c>
      <c r="E8" s="28" t="n">
        <f aca="false">IFERROR(D8/C8,0)</f>
        <v>0</v>
      </c>
      <c r="F8" s="29" t="n">
        <v>0</v>
      </c>
    </row>
    <row r="9" customFormat="false" ht="14.25" hidden="false" customHeight="false" outlineLevel="0" collapsed="false">
      <c r="A9" s="30" t="s">
        <v>108</v>
      </c>
      <c r="B9" s="29"/>
      <c r="C9" s="29"/>
      <c r="D9" s="29"/>
      <c r="E9" s="29"/>
      <c r="F9" s="29"/>
    </row>
    <row r="10" customFormat="false" ht="14.25" hidden="false" customHeight="false" outlineLevel="0" collapsed="false">
      <c r="A10" s="25" t="s">
        <v>109</v>
      </c>
      <c r="B10" s="29" t="n">
        <f aca="false">SUM(B11:B12)</f>
        <v>16</v>
      </c>
      <c r="C10" s="29" t="n">
        <f aca="false">SUM(C11:C12)</f>
        <v>16</v>
      </c>
      <c r="D10" s="27" t="n">
        <f aca="false">(B10-C10)</f>
        <v>0</v>
      </c>
      <c r="E10" s="28" t="n">
        <f aca="false">IFERROR(D10/C10,0)</f>
        <v>0</v>
      </c>
      <c r="F10" s="29" t="n">
        <f aca="false">SUM(F11:F12)</f>
        <v>16</v>
      </c>
    </row>
    <row r="11" customFormat="false" ht="14.25" hidden="false" customHeight="false" outlineLevel="0" collapsed="false">
      <c r="A11" s="25" t="s">
        <v>110</v>
      </c>
      <c r="B11" s="29" t="n">
        <v>16</v>
      </c>
      <c r="C11" s="29" t="n">
        <v>16</v>
      </c>
      <c r="D11" s="27" t="n">
        <f aca="false">(B11-C11)</f>
        <v>0</v>
      </c>
      <c r="E11" s="28" t="n">
        <f aca="false">IFERROR(D11/C11,0)</f>
        <v>0</v>
      </c>
      <c r="F11" s="29" t="n">
        <v>16</v>
      </c>
    </row>
    <row r="12" customFormat="false" ht="14.25" hidden="false" customHeight="false" outlineLevel="0" collapsed="false">
      <c r="A12" s="25" t="s">
        <v>17</v>
      </c>
      <c r="B12" s="29" t="n">
        <v>0</v>
      </c>
      <c r="C12" s="29" t="n">
        <v>0</v>
      </c>
      <c r="D12" s="27" t="n">
        <f aca="false">(B12-C12)</f>
        <v>0</v>
      </c>
      <c r="E12" s="28" t="n">
        <f aca="false">IFERROR(D12/C12,0)</f>
        <v>0</v>
      </c>
      <c r="F12" s="29" t="n">
        <v>0</v>
      </c>
    </row>
    <row r="13" customFormat="false" ht="14.25" hidden="false" customHeight="false" outlineLevel="0" collapsed="false">
      <c r="A13" s="30" t="s">
        <v>111</v>
      </c>
      <c r="B13" s="29"/>
      <c r="C13" s="29"/>
      <c r="D13" s="29"/>
      <c r="E13" s="29"/>
      <c r="F13" s="29"/>
    </row>
    <row r="14" customFormat="false" ht="14.25" hidden="false" customHeight="false" outlineLevel="0" collapsed="false">
      <c r="A14" s="25" t="s">
        <v>112</v>
      </c>
      <c r="B14" s="29" t="n">
        <v>6</v>
      </c>
      <c r="C14" s="29" t="n">
        <v>3</v>
      </c>
      <c r="D14" s="27" t="n">
        <f aca="false">(B14-C14)</f>
        <v>3</v>
      </c>
      <c r="E14" s="28" t="n">
        <v>1</v>
      </c>
      <c r="F14" s="29" t="n">
        <v>1</v>
      </c>
    </row>
    <row r="15" customFormat="false" ht="14.25" hidden="false" customHeight="false" outlineLevel="0" collapsed="false">
      <c r="A15" s="25" t="s">
        <v>113</v>
      </c>
      <c r="B15" s="29" t="n">
        <v>358522</v>
      </c>
      <c r="C15" s="29" t="n">
        <v>291420</v>
      </c>
      <c r="D15" s="27" t="n">
        <f aca="false">(B15-C15)</f>
        <v>67102</v>
      </c>
      <c r="E15" s="28" t="n">
        <v>0.23</v>
      </c>
      <c r="F15" s="29" t="n">
        <v>358522</v>
      </c>
    </row>
    <row r="16" customFormat="false" ht="14.25" hidden="false" customHeight="false" outlineLevel="0" collapsed="false">
      <c r="A16" s="30" t="s">
        <v>114</v>
      </c>
      <c r="B16" s="29"/>
      <c r="C16" s="29"/>
      <c r="D16" s="29"/>
      <c r="E16" s="29"/>
      <c r="F16" s="29"/>
    </row>
    <row r="17" customFormat="false" ht="14.25" hidden="false" customHeight="false" outlineLevel="0" collapsed="false">
      <c r="A17" s="25" t="s">
        <v>115</v>
      </c>
      <c r="B17" s="28" t="n">
        <v>-0.15</v>
      </c>
      <c r="C17" s="28" t="n">
        <v>-3.93</v>
      </c>
      <c r="D17" s="28" t="n">
        <f aca="false">B17-C17</f>
        <v>3.78</v>
      </c>
      <c r="E17" s="28" t="n">
        <v>-0.96</v>
      </c>
      <c r="F17" s="28" t="n">
        <v>4.1075</v>
      </c>
    </row>
    <row r="18" customFormat="false" ht="14.25" hidden="false" customHeight="false" outlineLevel="0" collapsed="false">
      <c r="A18" s="31" t="s">
        <v>116</v>
      </c>
      <c r="B18" s="32" t="n">
        <v>-4.25</v>
      </c>
      <c r="C18" s="32" t="n">
        <v>-16.34</v>
      </c>
      <c r="D18" s="32" t="n">
        <f aca="false">B18-C18</f>
        <v>12.09</v>
      </c>
      <c r="E18" s="32" t="n">
        <v>-0.74</v>
      </c>
      <c r="F18" s="32" t="n">
        <v>15.0746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2025-06-12T12:26:24Z</dcterms:created>
  <dc:creator>kkr</dc:creator>
  <dc:description/>
  <dc:language>en-US</dc:language>
  <cp:lastModifiedBy/>
  <dcterms:modified xsi:type="dcterms:W3CDTF">2025-08-05T16:19:33Z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